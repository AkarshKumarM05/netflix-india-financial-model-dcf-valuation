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 Page" sheetId="1" state="visible" r:id="rId3"/>
    <sheet name="Assumptions" sheetId="2" state="visible" r:id="rId4"/>
    <sheet name="Income Statement" sheetId="3" state="visible" r:id="rId5"/>
    <sheet name="Balance Sheet" sheetId="4" state="visible" r:id="rId6"/>
    <sheet name="Cash Flow" sheetId="5" state="visible" r:id="rId7"/>
    <sheet name="DCF &amp; WACC" sheetId="6" state="visible" r:id="rId8"/>
    <sheet name="Sensitivity Analysis" sheetId="7" state="visible" r:id="rId9"/>
    <sheet name="Comparable Companies" sheetId="8" state="visible" r:id="rId10"/>
    <sheet name="Scenario Analysis" sheetId="9" state="visible" r:id="rId11"/>
    <sheet name="Revenue Schedule" sheetId="10" state="visible" r:id="rId12"/>
    <sheet name="Expense Schedule" sheetId="11" state="visible" r:id="rId13"/>
    <sheet name="BS Schedules" sheetId="12" state="visible" r:id="rId14"/>
    <sheet name="CF Schedul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<sst xmlns="http://schemas.openxmlformats.org/spreadsheetml/2006/main" count="880" uniqueCount="517">
  <si>
    <t xml:space="preserve">NETFLIX INDIA</t>
  </si>
  <si>
    <t xml:space="preserve">COMPREHENSIVE 3-STATEMENT FINANCIAL MODEL &amp; DCF VALUATION</t>
  </si>
  <si>
    <t xml:space="preserve">All Projections Formula-Driven  |  Change Assumptions Sheet → Entire Model Updates</t>
  </si>
  <si>
    <t xml:space="preserve">DCF Enterprise Value</t>
  </si>
  <si>
    <t xml:space="preserve">Equity Value (DCF)</t>
  </si>
  <si>
    <t xml:space="preserve">WACC</t>
  </si>
  <si>
    <t xml:space="preserve">Terminal Growth Rate</t>
  </si>
  <si>
    <t xml:space="preserve">Analyst</t>
  </si>
  <si>
    <t xml:space="preserve">Akarsh Kumar Pandey</t>
  </si>
  <si>
    <t xml:space="preserve">Report Date</t>
  </si>
  <si>
    <t xml:space="preserve">December 2025</t>
  </si>
  <si>
    <t xml:space="preserve">Model Type</t>
  </si>
  <si>
    <t xml:space="preserve">3-Statement Financial Model – Formula Driven</t>
  </si>
  <si>
    <t xml:space="preserve">Data Source</t>
  </si>
  <si>
    <t xml:space="preserve">Ministry of Corporate Affairs (MCA) – Netflix Entertainment Services India LLP</t>
  </si>
  <si>
    <t xml:space="preserve">WACC Formula</t>
  </si>
  <si>
    <t xml:space="preserve">Rf + Beta x MRP  (CAPM) - All flows through DCF automatically</t>
  </si>
  <si>
    <t xml:space="preserve">Model Logic</t>
  </si>
  <si>
    <t xml:space="preserve">Change ANY yellow cell in Assumptions → entire IS / BS / CF / DCF updates</t>
  </si>
  <si>
    <t xml:space="preserve">SHEET INDEX &amp; FORMULA ARCHITECTURE</t>
  </si>
  <si>
    <t xml:space="preserve">Cover Page</t>
  </si>
  <si>
    <t xml:space="preserve">This sheet – live KPI boxes linked to model outputs</t>
  </si>
  <si>
    <t xml:space="preserve">Assumptions</t>
  </si>
  <si>
    <t xml:space="preserve">⭐ DRIVER SHEET – change yellow cells here to update entire model</t>
  </si>
  <si>
    <t xml:space="preserve">Income Statement</t>
  </si>
  <si>
    <t xml:space="preserve">Revenue, margins, NI – all formulas referencing Assumptions</t>
  </si>
  <si>
    <t xml:space="preserve">Balance Sheet</t>
  </si>
  <si>
    <t xml:space="preserve">Assets, liabilities, equity – RE rolls forward from IS Net Income</t>
  </si>
  <si>
    <t xml:space="preserve">Cash Flow</t>
  </si>
  <si>
    <t xml:space="preserve">OCF/ICF/FCF/Financing – all linked to IS + Assumptions</t>
  </si>
  <si>
    <t xml:space="preserve">DCF &amp; WACC</t>
  </si>
  <si>
    <t xml:space="preserve">CAPM, discount factors, terminal value – all real Excel formulas</t>
  </si>
  <si>
    <t xml:space="preserve">Sensitivity Analysis</t>
  </si>
  <si>
    <t xml:space="preserve">Two-way table; base case cell live-linked to DCF EV</t>
  </si>
  <si>
    <t xml:space="preserve">Comparable Companies</t>
  </si>
  <si>
    <t xml:space="preserve">Peer comps; Netflix India multiples live from DCF sheet</t>
  </si>
  <si>
    <t xml:space="preserve">Scenario Analysis</t>
  </si>
  <si>
    <t xml:space="preserve">Bull/Base/Bear; Base EV live-linked to DCF</t>
  </si>
  <si>
    <t xml:space="preserve">ASSUMPTIONS &amp; DRIVER SHEET – All Blue Cells Are Inputs  |  Yellow = Projection Assumptions  |  Green = Formula Outputs</t>
  </si>
  <si>
    <t xml:space="preserve">(₹ Crores)</t>
  </si>
  <si>
    <t xml:space="preserve">FY2021</t>
  </si>
  <si>
    <t xml:space="preserve">FY2022</t>
  </si>
  <si>
    <t xml:space="preserve">FY2023</t>
  </si>
  <si>
    <t xml:space="preserve">FY2024</t>
  </si>
  <si>
    <t xml:space="preserve">FY2025E</t>
  </si>
  <si>
    <t xml:space="preserve">FY2026P</t>
  </si>
  <si>
    <t xml:space="preserve">FY2027P</t>
  </si>
  <si>
    <t xml:space="preserve">FY2028P</t>
  </si>
  <si>
    <t xml:space="preserve">FY2029P</t>
  </si>
  <si>
    <t xml:space="preserve">FY2030P</t>
  </si>
  <si>
    <t xml:space="preserve">  SECTION 1: REVENUE ASSUMPTIONS</t>
  </si>
  <si>
    <t xml:space="preserve">Total Revenue (₹ Crores)</t>
  </si>
  <si>
    <t xml:space="preserve">  Revenue Growth Rate %</t>
  </si>
  <si>
    <t xml:space="preserve">-</t>
  </si>
  <si>
    <t xml:space="preserve">  SECTION 2: PROFITABILITY MARGIN ASSUMPTIONS  (change any cell → entire model updates)</t>
  </si>
  <si>
    <t xml:space="preserve">  Gross Margin %</t>
  </si>
  <si>
    <t xml:space="preserve">  EBITDA Margin %</t>
  </si>
  <si>
    <t xml:space="preserve">  EBIT / Operating Margin %</t>
  </si>
  <si>
    <t xml:space="preserve">  Tax Rate %</t>
  </si>
  <si>
    <t xml:space="preserve">  SECTION 3: COST STRUCTURE (% of Revenue)</t>
  </si>
  <si>
    <t xml:space="preserve">  Content Costs % Revenue</t>
  </si>
  <si>
    <t xml:space="preserve">  Technology % Revenue</t>
  </si>
  <si>
    <t xml:space="preserve">  Sales &amp; Marketing % Revenue</t>
  </si>
  <si>
    <t xml:space="preserve">  G&amp;A % Revenue</t>
  </si>
  <si>
    <t xml:space="preserve">  SECTION 4: OPERATIONAL KPIs</t>
  </si>
  <si>
    <t xml:space="preserve">  Subscribers (Millions)</t>
  </si>
  <si>
    <t xml:space="preserve">  ARPU Monthly (₹)</t>
  </si>
  <si>
    <t xml:space="preserve">  Market Share %</t>
  </si>
  <si>
    <t xml:space="preserve">  SECTION 5: SCHEDULE INPUTS – D&amp;A / CAPEX / CASH FLOW (₹ Crores – Absolute Values)</t>
  </si>
  <si>
    <t xml:space="preserve">  D&amp;A (₹ Cr)</t>
  </si>
  <si>
    <t xml:space="preserve">  Content Amortization (₹ Cr)</t>
  </si>
  <si>
    <t xml:space="preserve">  Stock-Based Comp (₹ Cr)</t>
  </si>
  <si>
    <t xml:space="preserve">  Content CapEx (₹ Cr) – outflow</t>
  </si>
  <si>
    <t xml:space="preserve">  PP&amp;E CapEx (₹ Cr) – outflow</t>
  </si>
  <si>
    <t xml:space="preserve">  NWC Change (₹ Cr)</t>
  </si>
  <si>
    <t xml:space="preserve">  DCF Maintenance CapEx % of Revenue (for FCF calc)</t>
  </si>
  <si>
    <t xml:space="preserve">Used only in DCF FCF calc; separate from full content CapEx in CF statement</t>
  </si>
  <si>
    <t xml:space="preserve">  Parent Capital Contributions (₹ Cr)</t>
  </si>
  <si>
    <t xml:space="preserve">  Share Buybacks (₹ Cr) – outflow</t>
  </si>
  <si>
    <t xml:space="preserve">  SECTION 6: DCF VALUATION PARAMETERS  (single values – used by DCF sheet)</t>
  </si>
  <si>
    <t xml:space="preserve">  Risk-Free Rate (India 10Y G-Sec)</t>
  </si>
  <si>
    <t xml:space="preserve">India 10Y G-Sec Dec 2025</t>
  </si>
  <si>
    <t xml:space="preserve">  Beta</t>
  </si>
  <si>
    <t xml:space="preserve">Netflix global unlevered; levered = unlevered (zero debt)</t>
  </si>
  <si>
    <t xml:space="preserve">  Market Risk Premium (MRP)</t>
  </si>
  <si>
    <t xml:space="preserve">Incwert India ERP Study 2025 (7th Ed.)</t>
  </si>
  <si>
    <t xml:space="preserve">  Cost of Equity (Ke) = Rf + β × MRP</t>
  </si>
  <si>
    <t xml:space="preserve">▶ FORMULA: =Risk-Free Rate + Beta × Market Risk Premium  (CAPM)</t>
  </si>
  <si>
    <t xml:space="preserve">  WACC (=Ke since zero debt)</t>
  </si>
  <si>
    <t xml:space="preserve">▶ FORMULA: =Equity Weight × Ke  (Debt Weight × Kd = 0)</t>
  </si>
  <si>
    <t xml:space="preserve">  Terminal Growth Rate (g)</t>
  </si>
  <si>
    <t xml:space="preserve">India long-term nominal GDP proxy</t>
  </si>
  <si>
    <t xml:space="preserve">  Equity Weight (E/V)</t>
  </si>
  <si>
    <t xml:space="preserve">100% equity financed – no debt</t>
  </si>
  <si>
    <t xml:space="preserve">  Debt Weight (D/V)</t>
  </si>
  <si>
    <t xml:space="preserve">Zero debt throughout model period</t>
  </si>
  <si>
    <t xml:space="preserve">  ⚠  YELLOW cells = projection assumptions (change these to run scenarios)</t>
  </si>
  <si>
    <t xml:space="preserve">  ⚠  GREY cells = historical actuals (do not change)</t>
  </si>
  <si>
    <t xml:space="preserve">INCOME STATEMENT – NETFLIX INDIA  (₹ Crores)  |  Green = Link  |  Black = Formula</t>
  </si>
  <si>
    <t xml:space="preserve">  REVENUE</t>
  </si>
  <si>
    <t xml:space="preserve">Total Revenue</t>
  </si>
  <si>
    <t xml:space="preserve">  YoY Revenue Growth %</t>
  </si>
  <si>
    <t xml:space="preserve">  COST OF REVENUE</t>
  </si>
  <si>
    <t xml:space="preserve">  Content Costs / Amortization</t>
  </si>
  <si>
    <t xml:space="preserve">  Technology &amp; Infrastructure</t>
  </si>
  <si>
    <t xml:space="preserve">Total Cost of Revenue</t>
  </si>
  <si>
    <t xml:space="preserve">GROSS PROFIT</t>
  </si>
  <si>
    <t xml:space="preserve">  OPERATING EXPENSES</t>
  </si>
  <si>
    <t xml:space="preserve">  Sales &amp; Marketing</t>
  </si>
  <si>
    <t xml:space="preserve">  Technology &amp; Development</t>
  </si>
  <si>
    <t xml:space="preserve">  General &amp; Administrative</t>
  </si>
  <si>
    <t xml:space="preserve">Total Operating Expenses</t>
  </si>
  <si>
    <t xml:space="preserve">  PROFITABILITY</t>
  </si>
  <si>
    <t xml:space="preserve">EBITDA</t>
  </si>
  <si>
    <t xml:space="preserve">  Depreciation &amp; Amortization</t>
  </si>
  <si>
    <t xml:space="preserve">EBIT / Operating Income</t>
  </si>
  <si>
    <t xml:space="preserve">  Operating Margin %</t>
  </si>
  <si>
    <t xml:space="preserve">Pre-Tax Income</t>
  </si>
  <si>
    <t xml:space="preserve">  Income Tax</t>
  </si>
  <si>
    <t xml:space="preserve">  Effective Tax Rate %</t>
  </si>
  <si>
    <t xml:space="preserve">NET INCOME (PAT)</t>
  </si>
  <si>
    <t xml:space="preserve">  Net Margin %</t>
  </si>
  <si>
    <t xml:space="preserve">  OPERATIONAL KPIs (linked from Assumptions)</t>
  </si>
  <si>
    <t xml:space="preserve">  FORMULA LEGEND</t>
  </si>
  <si>
    <t xml:space="preserve">  Blue cells</t>
  </si>
  <si>
    <t xml:space="preserve">Hardcoded inputs in Assumptions sheet</t>
  </si>
  <si>
    <t xml:space="preserve">  Green cells</t>
  </si>
  <si>
    <t xml:space="preserve">Direct cross-sheet link (=Assumptions!...)</t>
  </si>
  <si>
    <t xml:space="preserve">  Black cells</t>
  </si>
  <si>
    <t xml:space="preserve">Formula calculated from other cells (see formula bar when clicking any black cell)</t>
  </si>
  <si>
    <t xml:space="preserve">BALANCE SHEET – NETFLIX INDIA  (₹ Crores)</t>
  </si>
  <si>
    <t xml:space="preserve">  ASSETS</t>
  </si>
  <si>
    <t xml:space="preserve">  Cash &amp; Cash Equivalents</t>
  </si>
  <si>
    <t xml:space="preserve">  Marketable Securities</t>
  </si>
  <si>
    <t xml:space="preserve">  Trade Receivables</t>
  </si>
  <si>
    <t xml:space="preserve">  Prepaid Expenses &amp; Other</t>
  </si>
  <si>
    <t xml:space="preserve">TOTAL CURRENT ASSETS</t>
  </si>
  <si>
    <t xml:space="preserve">  Content Library (Net)</t>
  </si>
  <si>
    <t xml:space="preserve">  Property &amp; Equipment (Net)</t>
  </si>
  <si>
    <t xml:space="preserve">  Intangibles &amp; Goodwill</t>
  </si>
  <si>
    <t xml:space="preserve">  Other Non-Current Assets</t>
  </si>
  <si>
    <t xml:space="preserve">TOTAL NON-CURRENT ASSETS</t>
  </si>
  <si>
    <t xml:space="preserve">TOTAL ASSETS</t>
  </si>
  <si>
    <t xml:space="preserve">  LIABILITIES &amp; EQUITY</t>
  </si>
  <si>
    <t xml:space="preserve">  Trade Payables</t>
  </si>
  <si>
    <t xml:space="preserve">  Accrued Expenses</t>
  </si>
  <si>
    <t xml:space="preserve">  Deferred Revenue</t>
  </si>
  <si>
    <t xml:space="preserve">  Current Content Liabilities</t>
  </si>
  <si>
    <t xml:space="preserve">TOTAL CURRENT LIABILITIES</t>
  </si>
  <si>
    <t xml:space="preserve">  Long-Term Debt (Zero)</t>
  </si>
  <si>
    <t xml:space="preserve">  Content Liabilities (LT)</t>
  </si>
  <si>
    <t xml:space="preserve">  Deferred Tax Liabilities</t>
  </si>
  <si>
    <t xml:space="preserve">TOTAL NON-CURRENT LIAB.</t>
  </si>
  <si>
    <t xml:space="preserve">  Common Stock / Paid-in Capital</t>
  </si>
  <si>
    <t xml:space="preserve">  Retained Earnings</t>
  </si>
  <si>
    <t xml:space="preserve">  Treasury Stock (Buybacks)</t>
  </si>
  <si>
    <t xml:space="preserve">  Other Equity</t>
  </si>
  <si>
    <t xml:space="preserve">TOTAL SHAREHOLDERS' EQUITY</t>
  </si>
  <si>
    <t xml:space="preserve">TOTAL LIAB. &amp; EQUITY  (Check = 0 if balanced)</t>
  </si>
  <si>
    <t xml:space="preserve">CASH FLOW STATEMENT – NETFLIX INDIA  (₹ Crores)</t>
  </si>
  <si>
    <t xml:space="preserve">  OPERATING ACTIVITIES</t>
  </si>
  <si>
    <t xml:space="preserve">  Net Income (PAT)</t>
  </si>
  <si>
    <t xml:space="preserve">  Add: Depreciation &amp; Amortization</t>
  </si>
  <si>
    <t xml:space="preserve">  Add: Content Amortization</t>
  </si>
  <si>
    <t xml:space="preserve">  Add: Stock-Based Compensation</t>
  </si>
  <si>
    <t xml:space="preserve">  Changes in Working Capital</t>
  </si>
  <si>
    <t xml:space="preserve">NET OPERATING CASH FLOW</t>
  </si>
  <si>
    <t xml:space="preserve">  INVESTING ACTIVITIES</t>
  </si>
  <si>
    <t xml:space="preserve">  Content CapEx (outflow)</t>
  </si>
  <si>
    <t xml:space="preserve">  PP&amp;E / Technology CapEx (outflow)</t>
  </si>
  <si>
    <t xml:space="preserve">  Other Investing Activities</t>
  </si>
  <si>
    <t xml:space="preserve">NET INVESTING CASH FLOW</t>
  </si>
  <si>
    <t xml:space="preserve">  FREE CASH FLOW</t>
  </si>
  <si>
    <t xml:space="preserve">FREE CASH FLOW (OCF + Total CapEx)</t>
  </si>
  <si>
    <t xml:space="preserve">  FCF Margin %</t>
  </si>
  <si>
    <t xml:space="preserve">  FINANCING ACTIVITIES</t>
  </si>
  <si>
    <t xml:space="preserve">  Debt Issuance / (Repayment)</t>
  </si>
  <si>
    <t xml:space="preserve">  Share Buybacks</t>
  </si>
  <si>
    <t xml:space="preserve">  Dividend Payments</t>
  </si>
  <si>
    <t xml:space="preserve">  Parent Capital Contributions</t>
  </si>
  <si>
    <t xml:space="preserve">NET FINANCING CASH FLOW</t>
  </si>
  <si>
    <t xml:space="preserve">  CASH POSITION RECONCILIATION</t>
  </si>
  <si>
    <t xml:space="preserve">  Beginning Cash Balance</t>
  </si>
  <si>
    <t xml:space="preserve">  Net Change in Cash</t>
  </si>
  <si>
    <t xml:space="preserve">ENDING CASH BALANCE</t>
  </si>
  <si>
    <t xml:space="preserve">DCF VALUATION &amp; WACC – NETFLIX INDIA  |  All cells formula-driven from Assumptions</t>
  </si>
  <si>
    <t xml:space="preserve">  WACC CALCULATION  (all values link from Assumptions – change Assumptions!B42:B49 to update)</t>
  </si>
  <si>
    <t xml:space="preserve">  Risk-Free Rate (Rf) – India 10Y G-Sec</t>
  </si>
  <si>
    <t xml:space="preserve">Source: India 10Y G-Sec (Dec 2025)</t>
  </si>
  <si>
    <t xml:space="preserve">  Beta (Technology / Streaming Sector avg.)</t>
  </si>
  <si>
    <t xml:space="preserve">Netflix global; unlevered = levered (zero debt)</t>
  </si>
  <si>
    <t xml:space="preserve">  Cost of Equity (Ke = Rf + β × MRP)  ←CAPM</t>
  </si>
  <si>
    <t xml:space="preserve">▶ CAPM formula in Assumptions: =Rf + Beta x MRP</t>
  </si>
  <si>
    <t xml:space="preserve">  WACC  (= Ke, since Netflix India is debt-free)</t>
  </si>
  <si>
    <t xml:space="preserve">▶ =Equity_Weight x Ke  (Debt=0, so WACC = Ke)</t>
  </si>
  <si>
    <t xml:space="preserve">  PROJECTED FREE CASH FLOW &amp; PRESENT VALUE  (FY2026P – FY2030P)</t>
  </si>
  <si>
    <t xml:space="preserve">Notes</t>
  </si>
  <si>
    <t xml:space="preserve">Revenue (₹ Cr)</t>
  </si>
  <si>
    <t xml:space="preserve">Less: Tax @ 25% (NOPAT)</t>
  </si>
  <si>
    <t xml:space="preserve">NOPAT = EBIT × (1-Tax)</t>
  </si>
  <si>
    <t xml:space="preserve">Add: D&amp;A</t>
  </si>
  <si>
    <t xml:space="preserve">Less: CapEx</t>
  </si>
  <si>
    <t xml:space="preserve">Less: Δ Working Capital</t>
  </si>
  <si>
    <t xml:space="preserve">UNLEVERED FREE CASH FLOW</t>
  </si>
  <si>
    <t xml:space="preserve">Discount Period</t>
  </si>
  <si>
    <t xml:space="preserve">Discount Factor @WACC</t>
  </si>
  <si>
    <t xml:space="preserve">PV of FCF (₹ Cr)</t>
  </si>
  <si>
    <t xml:space="preserve">  TERMINAL VALUE CALCULATION  (Gordon Growth Model – all formula driven)</t>
  </si>
  <si>
    <t xml:space="preserve">FCF Year 2031E  = FCF₂₀₃₀ × (1 + TGR)</t>
  </si>
  <si>
    <t xml:space="preserve">▶ FORMULA: =FCF_FY2030 × (1 + Terminal Growth Rate)</t>
  </si>
  <si>
    <t xml:space="preserve">TERMINAL VALUE  = FCF₂₀₃₁ / (WACC – TGR)</t>
  </si>
  <si>
    <t xml:space="preserve">▶ FORMULA: =FCF_2031 / (WACC − TGR)  =  FCF_2031 / (14.66% − 4.50%)</t>
  </si>
  <si>
    <t xml:space="preserve">PV of Terminal Value  = TV × Discount Factor Year 5</t>
  </si>
  <si>
    <t xml:space="preserve">▶ FORMULA: =Terminal Value × Discount Factor (Year 5)</t>
  </si>
  <si>
    <t xml:space="preserve">  ENTERPRISE VALUE → EQUITY VALUE BRIDGE  (Formula-driven)</t>
  </si>
  <si>
    <t xml:space="preserve">Sum of PV of FCFs (FY2026–FY2030)</t>
  </si>
  <si>
    <t xml:space="preserve">PV of Terminal Value</t>
  </si>
  <si>
    <t xml:space="preserve">ENTERPRISE VALUE (DCF)</t>
  </si>
  <si>
    <t xml:space="preserve">(+) Cash &amp; Cash Equivalents</t>
  </si>
  <si>
    <t xml:space="preserve">(+) Marketable Securities</t>
  </si>
  <si>
    <t xml:space="preserve">(−) Total Debt</t>
  </si>
  <si>
    <t xml:space="preserve">EQUITY VALUE (DCF)</t>
  </si>
  <si>
    <t xml:space="preserve">  IMPLIED VALUATION MULTIPLES  (formula-driven – update when assumptions change)</t>
  </si>
  <si>
    <t xml:space="preserve">Multiple</t>
  </si>
  <si>
    <t xml:space="preserve">FY25E Base</t>
  </si>
  <si>
    <t xml:space="preserve">Implied</t>
  </si>
  <si>
    <t xml:space="preserve">Peer Median</t>
  </si>
  <si>
    <t xml:space="preserve">Premium vs. Peers</t>
  </si>
  <si>
    <t xml:space="preserve">  EV / Revenue (FY25E)</t>
  </si>
  <si>
    <t xml:space="preserve">  EV / EBITDA (FY25E)</t>
  </si>
  <si>
    <t xml:space="preserve">SENSITIVITY ANALYSIS – EV vs. WACC &amp; Terminal Growth Rate  |  Data tables calculated from model</t>
  </si>
  <si>
    <t xml:space="preserve">  TWO-WAY SENSITIVITY: Enterprise Value (₹ Crores) vs. WACC × Terminal Growth Rate</t>
  </si>
  <si>
    <t xml:space="preserve">▶  These values are calculated using the same FCF stream from the model.</t>
  </si>
  <si>
    <t xml:space="preserve">▶  Change Assumptions!B42-B47 to update WACC/TGR, and the base case cell below updates automatically.</t>
  </si>
  <si>
    <t xml:space="preserve">WACC ↓ / TGR →</t>
  </si>
  <si>
    <t xml:space="preserve">3.5%</t>
  </si>
  <si>
    <t xml:space="preserve">4.0%</t>
  </si>
  <si>
    <t xml:space="preserve">4.5%</t>
  </si>
  <si>
    <t xml:space="preserve">5.0%</t>
  </si>
  <si>
    <t xml:space="preserve">5.5%</t>
  </si>
  <si>
    <t xml:space="preserve">12.00%</t>
  </si>
  <si>
    <t xml:space="preserve">13.00%</t>
  </si>
  <si>
    <t xml:space="preserve">14.66%</t>
  </si>
  <si>
    <t xml:space="preserve">15.00%</t>
  </si>
  <si>
    <t xml:space="preserve">16.00%</t>
  </si>
  <si>
    <t xml:space="preserve">17.00%</t>
  </si>
  <si>
    <t xml:space="preserve">  ONE-WAY: REVENUE CAGR IMPACT  |  Orange = live base case from DCF sheet</t>
  </si>
  <si>
    <t xml:space="preserve">Revenue CAGR</t>
  </si>
  <si>
    <t xml:space="preserve">Scenario</t>
  </si>
  <si>
    <t xml:space="preserve">Enterprise Value (₹ Cr)</t>
  </si>
  <si>
    <t xml:space="preserve">vs. Base</t>
  </si>
  <si>
    <t xml:space="preserve">Equity Value (₹ Cr)</t>
  </si>
  <si>
    <t xml:space="preserve">Note</t>
  </si>
  <si>
    <t xml:space="preserve">10%</t>
  </si>
  <si>
    <t xml:space="preserve">Conservative</t>
  </si>
  <si>
    <t xml:space="preserve">Market saturation + pricing wars</t>
  </si>
  <si>
    <t xml:space="preserve">12%</t>
  </si>
  <si>
    <t xml:space="preserve">Below Base</t>
  </si>
  <si>
    <t xml:space="preserve">Moderate growth, comp pressure</t>
  </si>
  <si>
    <t xml:space="preserve">14%</t>
  </si>
  <si>
    <t xml:space="preserve">BASE CASE</t>
  </si>
  <si>
    <t xml:space="preserve">Primary forecast – live DCF value</t>
  </si>
  <si>
    <t xml:space="preserve">16%</t>
  </si>
  <si>
    <t xml:space="preserve">Above Base</t>
  </si>
  <si>
    <t xml:space="preserve">Bundling + ad-tier acceleration</t>
  </si>
  <si>
    <t xml:space="preserve">18%</t>
  </si>
  <si>
    <t xml:space="preserve">Upside</t>
  </si>
  <si>
    <t xml:space="preserve">Strong content + subs growth</t>
  </si>
  <si>
    <t xml:space="preserve">20%</t>
  </si>
  <si>
    <t xml:space="preserve">Strong Growth</t>
  </si>
  <si>
    <t xml:space="preserve">Bull case execution</t>
  </si>
  <si>
    <t xml:space="preserve">COMPARABLE COMPANY ANALYSIS – NETFLIX INDIA</t>
  </si>
  <si>
    <t xml:space="preserve">  TRADING COMPARABLES – INDIAN OTT MARKET  (₹ Crores)</t>
  </si>
  <si>
    <t xml:space="preserve">Company</t>
  </si>
  <si>
    <t xml:space="preserve">Country</t>
  </si>
  <si>
    <t xml:space="preserve">Market Cap</t>
  </si>
  <si>
    <t xml:space="preserve">EV/Revenue</t>
  </si>
  <si>
    <t xml:space="preserve">EV/EBITDA</t>
  </si>
  <si>
    <t xml:space="preserve">Rev Growth</t>
  </si>
  <si>
    <t xml:space="preserve">EBITDA Margin</t>
  </si>
  <si>
    <t xml:space="preserve">vs. Netflix India</t>
  </si>
  <si>
    <t xml:space="preserve">JioCinema/Disney+Hotstar</t>
  </si>
  <si>
    <t xml:space="preserve">India</t>
  </si>
  <si>
    <t xml:space="preserve">₹32,000 Cr</t>
  </si>
  <si>
    <t xml:space="preserve">3.2x</t>
  </si>
  <si>
    <t xml:space="preserve">9.5x</t>
  </si>
  <si>
    <t xml:space="preserve">8-10%</t>
  </si>
  <si>
    <t xml:space="preserve">30-35%</t>
  </si>
  <si>
    <t xml:space="preserve">Netflix +38% premium</t>
  </si>
  <si>
    <t xml:space="preserve">Amazon Prime Video</t>
  </si>
  <si>
    <t xml:space="preserve">Bundled</t>
  </si>
  <si>
    <t xml:space="preserve">4.5x</t>
  </si>
  <si>
    <t xml:space="preserve">10.2x</t>
  </si>
  <si>
    <t xml:space="preserve">12-15%</t>
  </si>
  <si>
    <t xml:space="preserve">25-30%</t>
  </si>
  <si>
    <t xml:space="preserve">Netflix -2%</t>
  </si>
  <si>
    <t xml:space="preserve">Zee5</t>
  </si>
  <si>
    <t xml:space="preserve">₹5,200 Cr</t>
  </si>
  <si>
    <t xml:space="preserve">2.1x</t>
  </si>
  <si>
    <t xml:space="preserve">7.8x</t>
  </si>
  <si>
    <t xml:space="preserve">6-8%</t>
  </si>
  <si>
    <t xml:space="preserve">28-32%</t>
  </si>
  <si>
    <t xml:space="preserve">Netflix +111%</t>
  </si>
  <si>
    <t xml:space="preserve">Sony LIV</t>
  </si>
  <si>
    <t xml:space="preserve">₹2,500 Cr</t>
  </si>
  <si>
    <t xml:space="preserve">1.8x</t>
  </si>
  <si>
    <t xml:space="preserve">6.5x</t>
  </si>
  <si>
    <t xml:space="preserve">4-6%</t>
  </si>
  <si>
    <t xml:space="preserve">20-25%</t>
  </si>
  <si>
    <t xml:space="preserve">Netflix +146%</t>
  </si>
  <si>
    <t xml:space="preserve">Netflix (Global)</t>
  </si>
  <si>
    <t xml:space="preserve">USA</t>
  </si>
  <si>
    <t xml:space="preserve">$265 Billion</t>
  </si>
  <si>
    <t xml:space="preserve">7.5x</t>
  </si>
  <si>
    <t xml:space="preserve">35.2x</t>
  </si>
  <si>
    <t xml:space="preserve">13-15%</t>
  </si>
  <si>
    <t xml:space="preserve">42-45%</t>
  </si>
  <si>
    <t xml:space="preserve">Global benchmark</t>
  </si>
  <si>
    <t xml:space="preserve">NETFLIX INDIA (DCF)</t>
  </si>
  <si>
    <t xml:space="preserve">14.0%</t>
  </si>
  <si>
    <t xml:space="preserve">40.0%</t>
  </si>
  <si>
    <t xml:space="preserve">BASE CASE ← LIVE</t>
  </si>
  <si>
    <t xml:space="preserve">SCENARIO ANALYSIS – BULL / BASE / BEAR  (Base Case EV is live from DCF sheet)</t>
  </si>
  <si>
    <t xml:space="preserve">Assumption</t>
  </si>
  <si>
    <t xml:space="preserve">BULL  (25%)</t>
  </si>
  <si>
    <t xml:space="preserve">BASE  (50%)</t>
  </si>
  <si>
    <t xml:space="preserve">BEAR  (25%)</t>
  </si>
  <si>
    <t xml:space="preserve">Probability Wtd</t>
  </si>
  <si>
    <t xml:space="preserve">14.5%</t>
  </si>
  <si>
    <t xml:space="preserve">Terminal Growth</t>
  </si>
  <si>
    <t xml:space="preserve">12.0%</t>
  </si>
  <si>
    <t xml:space="preserve">16.0%</t>
  </si>
  <si>
    <t xml:space="preserve">14.4%</t>
  </si>
  <si>
    <t xml:space="preserve">EBIT Margin FY30</t>
  </si>
  <si>
    <t xml:space="preserve">25%</t>
  </si>
  <si>
    <t xml:space="preserve">15%</t>
  </si>
  <si>
    <t xml:space="preserve">16.3%</t>
  </si>
  <si>
    <t xml:space="preserve">Subscribers 2030</t>
  </si>
  <si>
    <t xml:space="preserve">50M+</t>
  </si>
  <si>
    <t xml:space="preserve">44M</t>
  </si>
  <si>
    <t xml:space="preserve">35M</t>
  </si>
  <si>
    <t xml:space="preserve">~43M</t>
  </si>
  <si>
    <t xml:space="preserve">ENTERPRISE VALUE</t>
  </si>
  <si>
    <t xml:space="preserve">₹22,456 Cr</t>
  </si>
  <si>
    <t xml:space="preserve">₹11,234 Cr</t>
  </si>
  <si>
    <t xml:space="preserve">₹16,757 Cr</t>
  </si>
  <si>
    <t xml:space="preserve">  PROBABILITY-WEIGHTED VALUATION  (Base case EV is a live link)</t>
  </si>
  <si>
    <t xml:space="preserve">Probability</t>
  </si>
  <si>
    <t xml:space="preserve">EV (₹ Cr)</t>
  </si>
  <si>
    <t xml:space="preserve">Contribution (₹ Cr)</t>
  </si>
  <si>
    <t xml:space="preserve">Bull Case</t>
  </si>
  <si>
    <t xml:space="preserve">Base Case</t>
  </si>
  <si>
    <t xml:space="preserve">Bear Case</t>
  </si>
  <si>
    <t xml:space="preserve">BLENDED FAIR VALUE</t>
  </si>
  <si>
    <t xml:space="preserve">REVENUE SCHEDULE – NETFLIX INDIA  (₹ Crores)  |  PDF Reference: Section 4 &amp; Appendix</t>
  </si>
  <si>
    <t xml:space="preserve">  1. REVENUE OVERVIEW (₹ Crores)</t>
  </si>
  <si>
    <t xml:space="preserve">Total Revenue (₹ Cr)</t>
  </si>
  <si>
    <t xml:space="preserve">YoY Revenue Growth %</t>
  </si>
  <si>
    <t xml:space="preserve">4-Year CAGR (FY21–25E)</t>
  </si>
  <si>
    <t xml:space="preserve">10-Year CAGR (FY21–30P)</t>
  </si>
  <si>
    <t xml:space="preserve">  2. SUBSCRIBER ANALYSIS &amp; ARPU (Assumptions Driver → links to main model)</t>
  </si>
  <si>
    <t xml:space="preserve">Total Paid Subscribers (Millions)</t>
  </si>
  <si>
    <t xml:space="preserve">YoY Subscriber Additions (M)</t>
  </si>
  <si>
    <t xml:space="preserve">YoY Subscriber Growth %</t>
  </si>
  <si>
    <t xml:space="preserve">ARPU Annual (₹/year)</t>
  </si>
  <si>
    <t xml:space="preserve">ARPU Monthly (₹/month)</t>
  </si>
  <si>
    <t xml:space="preserve">YoY ARPU Growth %</t>
  </si>
  <si>
    <t xml:space="preserve">Market Share % of Indian OTT</t>
  </si>
  <si>
    <t xml:space="preserve">  3. REVENUE BY SUBSCRIPTION TIER (₹ Crores)  |  PDF: Subscription Revenue = 94% of Total</t>
  </si>
  <si>
    <t xml:space="preserve">Tier / Plan</t>
  </si>
  <si>
    <t xml:space="preserve">Price/Month</t>
  </si>
  <si>
    <t xml:space="preserve">Mobile</t>
  </si>
  <si>
    <t xml:space="preserve">₹149/mo</t>
  </si>
  <si>
    <t xml:space="preserve">Basic</t>
  </si>
  <si>
    <t xml:space="preserve">₹199/mo</t>
  </si>
  <si>
    <t xml:space="preserve">Standard</t>
  </si>
  <si>
    <t xml:space="preserve">₹499/mo</t>
  </si>
  <si>
    <t xml:space="preserve">Premium</t>
  </si>
  <si>
    <t xml:space="preserve">₹649/mo</t>
  </si>
  <si>
    <t xml:space="preserve">Ad-Supported</t>
  </si>
  <si>
    <t xml:space="preserve">Varies</t>
  </si>
  <si>
    <t xml:space="preserve">TOTAL SUBSCRIPTION REV.</t>
  </si>
  <si>
    <t xml:space="preserve">—</t>
  </si>
  <si>
    <t xml:space="preserve">  4. GEOGRAPHIC REVENUE MIX (₹ Crores)  |  100% India Streaming</t>
  </si>
  <si>
    <t xml:space="preserve">Segment</t>
  </si>
  <si>
    <t xml:space="preserve">India Streaming (Metro)</t>
  </si>
  <si>
    <t xml:space="preserve">India Streaming (Suburban)</t>
  </si>
  <si>
    <t xml:space="preserve">India Streaming (Rural)</t>
  </si>
  <si>
    <t xml:space="preserve">International/Other</t>
  </si>
  <si>
    <t xml:space="preserve">TOTAL REVENUE</t>
  </si>
  <si>
    <t xml:space="preserve">  5. REVENUE CAGR ANALYSIS</t>
  </si>
  <si>
    <t xml:space="preserve">Period</t>
  </si>
  <si>
    <t xml:space="preserve">YoY Growth</t>
  </si>
  <si>
    <t xml:space="preserve">CAGR</t>
  </si>
  <si>
    <t xml:space="preserve">Commentary</t>
  </si>
  <si>
    <t xml:space="preserve">Base year – post-COVID streaming acceleration</t>
  </si>
  <si>
    <t xml:space="preserve">93.4% surge – pandemic streaming boom peak</t>
  </si>
  <si>
    <t xml:space="preserve">Normalization; market competition increases</t>
  </si>
  <si>
    <t xml:space="preserve">Steady growth; telecom bundling gains traction</t>
  </si>
  <si>
    <t xml:space="preserve">32.4% rebound; ad-tier + bundling momentum</t>
  </si>
  <si>
    <t xml:space="preserve">Market maturation; ad-tier scaling</t>
  </si>
  <si>
    <t xml:space="preserve">ARPU recovery + ad revenue acceleration</t>
  </si>
  <si>
    <t xml:space="preserve">Consolidation phase growth</t>
  </si>
  <si>
    <t xml:space="preserve">Market maturity; competition impact</t>
  </si>
  <si>
    <t xml:space="preserve">Aligns with India nominal GDP; 10-yr CAGR=24.7%</t>
  </si>
  <si>
    <t xml:space="preserve">EXPENSE &amp; COST SCHEDULE – NETFLIX INDIA  (₹ Crores)  |  All amounts verified from MCA Filings</t>
  </si>
  <si>
    <t xml:space="preserve">  1. COST OF REVENUE SCHEDULE (₹ Crores)</t>
  </si>
  <si>
    <t xml:space="preserve">Cost Item</t>
  </si>
  <si>
    <t xml:space="preserve">TOTAL COST OF REVENUE</t>
  </si>
  <si>
    <t xml:space="preserve">  As % of Revenue</t>
  </si>
  <si>
    <t xml:space="preserve">  Content % of Revenue</t>
  </si>
  <si>
    <t xml:space="preserve">  Tech CoR % of Revenue</t>
  </si>
  <si>
    <t xml:space="preserve">  2. OPERATING EXPENSE SCHEDULE (₹ Crores)</t>
  </si>
  <si>
    <t xml:space="preserve">OpEx Item</t>
  </si>
  <si>
    <t xml:space="preserve">Sales &amp; Marketing</t>
  </si>
  <si>
    <t xml:space="preserve">      S&amp;M as % Revenue</t>
  </si>
  <si>
    <t xml:space="preserve">Technology &amp; Development</t>
  </si>
  <si>
    <t xml:space="preserve">      Tech Dev as % Revenue</t>
  </si>
  <si>
    <t xml:space="preserve">General &amp; Administrative</t>
  </si>
  <si>
    <t xml:space="preserve">      G&amp;A as % Revenue</t>
  </si>
  <si>
    <t xml:space="preserve">TOTAL OPERATING EXPENSES</t>
  </si>
  <si>
    <t xml:space="preserve">      Total OpEx as % Revenue</t>
  </si>
  <si>
    <t xml:space="preserve">  3. COST STRUCTURE WATERFALL – % of Revenue (trend analysis)</t>
  </si>
  <si>
    <t xml:space="preserve">Cost Line</t>
  </si>
  <si>
    <t xml:space="preserve">Revenue</t>
  </si>
  <si>
    <t xml:space="preserve">(-) Content Costs</t>
  </si>
  <si>
    <t xml:space="preserve">(-) Tech (CoR)</t>
  </si>
  <si>
    <t xml:space="preserve">GROSS PROFIT MARGIN %</t>
  </si>
  <si>
    <t xml:space="preserve">(-) Sales &amp; Mktg</t>
  </si>
  <si>
    <t xml:space="preserve">(-) Tech Dev</t>
  </si>
  <si>
    <t xml:space="preserve">(-) G&amp;A</t>
  </si>
  <si>
    <t xml:space="preserve">EBITDA MARGIN %</t>
  </si>
  <si>
    <t xml:space="preserve">(-) D&amp;A / Content Amort</t>
  </si>
  <si>
    <t xml:space="preserve">EBIT MARGIN %</t>
  </si>
  <si>
    <t xml:space="preserve">(-) Tax</t>
  </si>
  <si>
    <t xml:space="preserve">NET PROFIT MARGIN %</t>
  </si>
  <si>
    <t xml:space="preserve">  4. TAX SCHEDULE – Effective Rate &amp; Normalization</t>
  </si>
  <si>
    <t xml:space="preserve">Year</t>
  </si>
  <si>
    <t xml:space="preserve">Pretax Profit</t>
  </si>
  <si>
    <t xml:space="preserve">Income Tax</t>
  </si>
  <si>
    <t xml:space="preserve">Effective Rate</t>
  </si>
  <si>
    <t xml:space="preserve">Normalized Rate</t>
  </si>
  <si>
    <t xml:space="preserve">Methodology</t>
  </si>
  <si>
    <t xml:space="preserve">Actual MCA filing</t>
  </si>
  <si>
    <t xml:space="preserve">Normalized to 25%</t>
  </si>
  <si>
    <t xml:space="preserve">BALANCE SHEET COMPONENT SCHEDULES – NETFLIX INDIA  (₹ Crores)</t>
  </si>
  <si>
    <t xml:space="preserve">  1. FIXED ASSETS (PP&amp;E) ROLL-FORWARD SCHEDULE (₹ Crores)</t>
  </si>
  <si>
    <t xml:space="preserve">Opening Gross</t>
  </si>
  <si>
    <t xml:space="preserve">CapEx Adds</t>
  </si>
  <si>
    <t xml:space="preserve">Depreciation</t>
  </si>
  <si>
    <t xml:space="preserve">Closing Gross</t>
  </si>
  <si>
    <t xml:space="preserve">Accum. Depr.</t>
  </si>
  <si>
    <t xml:space="preserve">Net PP&amp;E</t>
  </si>
  <si>
    <t xml:space="preserve">CapEx/Rev%</t>
  </si>
  <si>
    <t xml:space="preserve">  2. CONTENT ASSETS SCHEDULE (₹ Crores)  |  Netflix amortizes content as it airs</t>
  </si>
  <si>
    <t xml:space="preserve">Opening Net</t>
  </si>
  <si>
    <t xml:space="preserve">Cash Spending</t>
  </si>
  <si>
    <t xml:space="preserve">Amortization</t>
  </si>
  <si>
    <t xml:space="preserve">Closing Net</t>
  </si>
  <si>
    <t xml:space="preserve">Spend/Rev%</t>
  </si>
  <si>
    <t xml:space="preserve">Amort/Rev%</t>
  </si>
  <si>
    <t xml:space="preserve">  3. WORKING CAPITAL SCHEDULE (₹ Crores)</t>
  </si>
  <si>
    <t xml:space="preserve">Trade Receivables</t>
  </si>
  <si>
    <t xml:space="preserve">% Revenue</t>
  </si>
  <si>
    <t xml:space="preserve">Trade Payables</t>
  </si>
  <si>
    <t xml:space="preserve">% Expenses</t>
  </si>
  <si>
    <t xml:space="preserve">NWC Δ</t>
  </si>
  <si>
    <t xml:space="preserve">Hist.</t>
  </si>
  <si>
    <t xml:space="preserve">Proj – AR=Rev×15/365</t>
  </si>
  <si>
    <t xml:space="preserve">Proj</t>
  </si>
  <si>
    <t xml:space="preserve">  4. DEBT SCHEDULE  |  Netflix India = 100% EQUITY FINANCED throughout model period</t>
  </si>
  <si>
    <t xml:space="preserve">Opening Debt</t>
  </si>
  <si>
    <t xml:space="preserve">New Borrowings</t>
  </si>
  <si>
    <t xml:space="preserve">Repayments</t>
  </si>
  <si>
    <t xml:space="preserve">Closing Debt</t>
  </si>
  <si>
    <t xml:space="preserve">Interest Rate</t>
  </si>
  <si>
    <t xml:space="preserve">Kd (Post-Tax)</t>
  </si>
  <si>
    <t xml:space="preserve">N/A</t>
  </si>
  <si>
    <t xml:space="preserve">Zero debt – equity only</t>
  </si>
  <si>
    <t xml:space="preserve">DETAILED CASH FLOW SCHEDULES – NETFLIX INDIA  (₹ Crores)</t>
  </si>
  <si>
    <t xml:space="preserve">  1. OPERATING CASH FLOW – DETAILED SCHEDULE (₹ Crores)</t>
  </si>
  <si>
    <t xml:space="preserve">Line Item</t>
  </si>
  <si>
    <t xml:space="preserve">    Net Income (PAT)</t>
  </si>
  <si>
    <t xml:space="preserve">    + Depreciation &amp; Amortization</t>
  </si>
  <si>
    <t xml:space="preserve">    + Content Amortization</t>
  </si>
  <si>
    <t xml:space="preserve">    + Stock-Based Compensation</t>
  </si>
  <si>
    <t xml:space="preserve">    + Deferred Taxes</t>
  </si>
  <si>
    <t xml:space="preserve">    Δ Working Capital</t>
  </si>
  <si>
    <t xml:space="preserve">    OCF Margin %</t>
  </si>
  <si>
    <t xml:space="preserve">    OCF Growth %</t>
  </si>
  <si>
    <t xml:space="preserve">  2. INVESTING CASH FLOW – DETAILED SCHEDULE (₹ Crores)</t>
  </si>
  <si>
    <t xml:space="preserve">    Content CapEx (Cash Outflow)</t>
  </si>
  <si>
    <t xml:space="preserve">    PP&amp;E / Technology CapEx</t>
  </si>
  <si>
    <t xml:space="preserve">    Other Investing Activities</t>
  </si>
  <si>
    <t xml:space="preserve">    Total CapEx as % Revenue</t>
  </si>
  <si>
    <t xml:space="preserve">    Content CapEx as % Revenue</t>
  </si>
  <si>
    <t xml:space="preserve">  3. FREE CASH FLOW CALCULATION &amp; MARGIN ANALYSIS</t>
  </si>
  <si>
    <t xml:space="preserve">Net Op. CF</t>
  </si>
  <si>
    <t xml:space="preserve">Free Cash Flow</t>
  </si>
  <si>
    <t xml:space="preserve">FCF Margin %</t>
  </si>
  <si>
    <t xml:space="preserve">Min Cash (5% Rev)</t>
  </si>
  <si>
    <t xml:space="preserve">FCF/NI Ratio</t>
  </si>
  <si>
    <t xml:space="preserve">  4. FINANCING CASH FLOW SCHEDULE (₹ Crores)</t>
  </si>
  <si>
    <t xml:space="preserve">    Share Buybacks (outflow)</t>
  </si>
  <si>
    <t xml:space="preserve">    Parent Capital Contributions</t>
  </si>
  <si>
    <t xml:space="preserve">    Debt Repayments / Issuance</t>
  </si>
  <si>
    <t xml:space="preserve">    Dividend Payments</t>
  </si>
  <si>
    <t xml:space="preserve">    Cumulative Buybacks (₹ Cr)</t>
  </si>
  <si>
    <t xml:space="preserve">    Cumulative Parent Contributions</t>
  </si>
  <si>
    <t xml:space="preserve">  5. CASH POSITION RECONCILIATION (₹ Crores)</t>
  </si>
  <si>
    <t xml:space="preserve">Opening Cash</t>
  </si>
  <si>
    <t xml:space="preserve">Net Op. Δ</t>
  </si>
  <si>
    <t xml:space="preserve">Net Inv. Δ</t>
  </si>
  <si>
    <t xml:space="preserve">Net Fin. Δ</t>
  </si>
  <si>
    <t xml:space="preserve">Net Δ Cash</t>
  </si>
  <si>
    <t xml:space="preserve">Closing Cash</t>
  </si>
  <si>
    <t xml:space="preserve">Min. Reserve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</si>
</sst>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0%"/>
    <numFmt numFmtId="167" formatCode="0.0%"/>
    <numFmt numFmtId="168" formatCode="0.0"/>
    <numFmt numFmtId="169" formatCode="0.00"/>
    <numFmt numFmtId="170" formatCode="0"/>
    <numFmt numFmtId="171" formatCode="0.0000"/>
    <numFmt numFmtId="172" formatCode="0.00\x"/>
    <numFmt numFmtId="173" formatCode="\+0.0%;\-0.0%;\-"/>
    <numFmt numFmtId="174" formatCode="0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36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11"/>
      <color rgb="FF2C3E5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64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C0392B"/>
      <name val="Arial"/>
      <family val="0"/>
      <charset val="1"/>
    </font>
    <font>
      <i val="true"/>
      <sz val="8"/>
      <color rgb="FF566573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566573"/>
      <name val="Arial"/>
      <family val="0"/>
      <charset val="1"/>
    </font>
    <font>
      <sz val="8"/>
      <color rgb="FF006400"/>
      <name val="Arial"/>
      <family val="0"/>
      <charset val="1"/>
    </font>
    <font>
      <b val="true"/>
      <sz val="9"/>
      <color rgb="FF006400"/>
      <name val="Arial"/>
      <family val="0"/>
      <charset val="1"/>
    </font>
    <font>
      <i val="true"/>
      <sz val="8"/>
      <color rgb="FF00640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FFFFFF"/>
      <name val="Arial"/>
      <family val="0"/>
      <charset val="1"/>
    </font>
    <font>
      <sz val="9"/>
      <color rgb="FFC0392B"/>
      <name val="Arial"/>
      <family val="0"/>
      <charset val="1"/>
    </font>
    <font>
      <sz val="9"/>
      <color rgb="FF1B5E20"/>
      <name val="Arial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rgb="FFC0392B"/>
        <bgColor rgb="FFB71C1C"/>
      </patternFill>
    </fill>
    <fill>
      <patternFill patternType="solid">
        <fgColor rgb="FFE74C3C"/>
        <bgColor rgb="FFC0392B"/>
      </patternFill>
    </fill>
    <fill>
      <patternFill patternType="solid">
        <fgColor rgb="FF2C3E50"/>
        <bgColor rgb="FF333399"/>
      </patternFill>
    </fill>
    <fill>
      <patternFill patternType="solid">
        <fgColor rgb="FF566573"/>
        <bgColor rgb="FF808080"/>
      </patternFill>
    </fill>
    <fill>
      <patternFill patternType="solid">
        <fgColor rgb="FFF2F3F4"/>
        <bgColor rgb="FFE8F5E9"/>
      </patternFill>
    </fill>
    <fill>
      <patternFill patternType="solid">
        <fgColor rgb="FFFFFFFF"/>
        <bgColor rgb="FFFFFDE7"/>
      </patternFill>
    </fill>
    <fill>
      <patternFill patternType="solid">
        <fgColor rgb="FFFFFF00"/>
        <bgColor rgb="FFFFFF00"/>
      </patternFill>
    </fill>
    <fill>
      <patternFill patternType="solid">
        <fgColor rgb="FFFADBD8"/>
        <bgColor rgb="FFFFCDD2"/>
      </patternFill>
    </fill>
    <fill>
      <patternFill patternType="solid">
        <fgColor rgb="FFC8E6C9"/>
        <bgColor rgb="FFE8F5E9"/>
      </patternFill>
    </fill>
    <fill>
      <patternFill patternType="solid">
        <fgColor rgb="FFFFF9C4"/>
        <bgColor rgb="FFFFFDE7"/>
      </patternFill>
    </fill>
    <fill>
      <patternFill patternType="solid">
        <fgColor rgb="FFFFCDD2"/>
        <bgColor rgb="FFFADBD8"/>
      </patternFill>
    </fill>
    <fill>
      <patternFill patternType="solid">
        <fgColor rgb="FFFF8A65"/>
        <bgColor rgb="FFFF9900"/>
      </patternFill>
    </fill>
    <fill>
      <patternFill patternType="solid">
        <fgColor rgb="FF1B5E20"/>
        <bgColor rgb="FF006400"/>
      </patternFill>
    </fill>
    <fill>
      <patternFill patternType="solid">
        <fgColor rgb="FFB71C1C"/>
        <bgColor rgb="FFC0392B"/>
      </patternFill>
    </fill>
    <fill>
      <patternFill patternType="solid">
        <fgColor rgb="FF4A148C"/>
        <bgColor rgb="FF333399"/>
      </patternFill>
    </fill>
    <fill>
      <patternFill patternType="solid">
        <fgColor rgb="FFE8F5E9"/>
        <bgColor rgb="FFF2F3F4"/>
      </patternFill>
    </fill>
    <fill>
      <patternFill patternType="solid">
        <fgColor rgb="FFFFFDE7"/>
        <bgColor rgb="FFFFFFFF"/>
      </patternFill>
    </fill>
    <fill>
      <patternFill patternType="solid">
        <fgColor rgb="FFFFEBEE"/>
        <bgColor rgb="FFF3E5F5"/>
      </patternFill>
    </fill>
    <fill>
      <patternFill patternType="solid">
        <fgColor rgb="FFF3E5F5"/>
        <bgColor rgb="FFFFEBE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/>
      <top style="thin">
        <color rgb="FFBDBDBD"/>
      </top>
      <bottom style="thin">
        <color rgb="FFBDBD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9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3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1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1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BDBDBD"/>
      <rgbColor rgb="FF808080"/>
      <rgbColor rgb="FF9999FF"/>
      <rgbColor rgb="FFC0392B"/>
      <rgbColor rgb="FFFFF9C4"/>
      <rgbColor rgb="FFE8F5E9"/>
      <rgbColor rgb="FF4A148C"/>
      <rgbColor rgb="FFFF8A65"/>
      <rgbColor rgb="FF0066CC"/>
      <rgbColor rgb="FFF3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4"/>
      <rgbColor rgb="FFC8E6C9"/>
      <rgbColor rgb="FFFFFDE7"/>
      <rgbColor rgb="FFFFEBEE"/>
      <rgbColor rgb="FFFADBD8"/>
      <rgbColor rgb="FFCC99FF"/>
      <rgbColor rgb="FFFFCDD2"/>
      <rgbColor rgb="FF3366FF"/>
      <rgbColor rgb="FF33CCCC"/>
      <rgbColor rgb="FF99CC00"/>
      <rgbColor rgb="FFFFCC00"/>
      <rgbColor rgb="FFFF9900"/>
      <rgbColor rgb="FFE74C3C"/>
      <rgbColor rgb="FF566573"/>
      <rgbColor rgb="FF969696"/>
      <rgbColor rgb="FF003366"/>
      <rgbColor rgb="FF339966"/>
      <rgbColor rgb="FF003300"/>
      <rgbColor rgb="FF1B5E20"/>
      <rgbColor rgb="FFB71C1C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I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1" width="18"/>
  </cols>
  <sheetData>
    <row r="3" customFormat="false" ht="54.75" hidden="false" customHeight="true" outlineLevel="0" collapsed="false">
      <c r="B3" s="2" t="s">
        <v>0</v>
      </c>
      <c r="C3" s="2"/>
      <c r="D3" s="2"/>
      <c r="E3" s="2"/>
      <c r="F3" s="2"/>
      <c r="G3" s="2"/>
      <c r="H3" s="2"/>
    </row>
    <row r="4" customFormat="false" ht="31.5" hidden="false" customHeight="true" outlineLevel="0" collapsed="false">
      <c r="B4" s="3" t="s">
        <v>1</v>
      </c>
      <c r="C4" s="3"/>
      <c r="D4" s="3"/>
      <c r="E4" s="3"/>
      <c r="F4" s="3"/>
      <c r="G4" s="3"/>
      <c r="H4" s="3"/>
    </row>
    <row r="5" customFormat="false" ht="24" hidden="false" customHeight="true" outlineLevel="0" collapsed="false">
      <c r="B5" s="4" t="s">
        <v>2</v>
      </c>
      <c r="C5" s="4"/>
      <c r="D5" s="4"/>
      <c r="E5" s="4"/>
      <c r="F5" s="4"/>
      <c r="G5" s="4"/>
      <c r="H5" s="4"/>
    </row>
    <row r="6" customFormat="false" ht="12" hidden="false" customHeight="true" outlineLevel="0" collapsed="false"/>
    <row r="7" customFormat="false" ht="15.75" hidden="false" customHeight="true" outlineLevel="0" collapsed="false">
      <c r="B7" s="5" t="s">
        <v>3</v>
      </c>
      <c r="C7" s="5"/>
      <c r="D7" s="5" t="s">
        <v>4</v>
      </c>
      <c r="E7" s="5"/>
      <c r="F7" s="5" t="s">
        <v>5</v>
      </c>
      <c r="G7" s="5"/>
      <c r="H7" s="5" t="s">
        <v>6</v>
      </c>
      <c r="I7" s="5"/>
    </row>
    <row r="8" customFormat="false" ht="27.75" hidden="false" customHeight="true" outlineLevel="0" collapsed="false">
      <c r="B8" s="6" t="n">
        <f aca="false">'DCF &amp; WACC'!B39</f>
        <v>15441.2947794738</v>
      </c>
      <c r="C8" s="6"/>
      <c r="D8" s="6" t="n">
        <f aca="false">'DCF &amp; WACC'!B43</f>
        <v>16291.2947794738</v>
      </c>
      <c r="E8" s="6"/>
      <c r="F8" s="7" t="n">
        <f aca="false">Assumptions!B47</f>
        <v>0.1466</v>
      </c>
      <c r="G8" s="7"/>
      <c r="H8" s="7" t="n">
        <f aca="false">Assumptions!B48</f>
        <v>0.045</v>
      </c>
      <c r="I8" s="7"/>
    </row>
    <row r="9" customFormat="false" ht="9.75" hidden="false" customHeight="true" outlineLevel="0" collapsed="false"/>
    <row r="10" customFormat="false" ht="18" hidden="false" customHeight="true" outlineLevel="0" collapsed="false">
      <c r="B10" s="8" t="s">
        <v>7</v>
      </c>
      <c r="C10" s="8"/>
      <c r="D10" s="9" t="s">
        <v>8</v>
      </c>
      <c r="E10" s="9"/>
      <c r="F10" s="9"/>
      <c r="G10" s="9"/>
      <c r="H10" s="9"/>
    </row>
    <row r="11" customFormat="false" ht="18" hidden="false" customHeight="true" outlineLevel="0" collapsed="false">
      <c r="B11" s="8" t="s">
        <v>9</v>
      </c>
      <c r="C11" s="8"/>
      <c r="D11" s="9" t="s">
        <v>10</v>
      </c>
      <c r="E11" s="9"/>
      <c r="F11" s="9"/>
      <c r="G11" s="9"/>
      <c r="H11" s="9"/>
    </row>
    <row r="12" customFormat="false" ht="18" hidden="false" customHeight="true" outlineLevel="0" collapsed="false">
      <c r="B12" s="8" t="s">
        <v>11</v>
      </c>
      <c r="C12" s="8"/>
      <c r="D12" s="10" t="s">
        <v>12</v>
      </c>
      <c r="E12" s="10"/>
      <c r="F12" s="10"/>
      <c r="G12" s="10"/>
      <c r="H12" s="10"/>
    </row>
    <row r="13" customFormat="false" ht="18" hidden="false" customHeight="true" outlineLevel="0" collapsed="false">
      <c r="B13" s="8" t="s">
        <v>13</v>
      </c>
      <c r="C13" s="8"/>
      <c r="D13" s="9" t="s">
        <v>14</v>
      </c>
      <c r="E13" s="9"/>
      <c r="F13" s="9"/>
      <c r="G13" s="9"/>
      <c r="H13" s="9"/>
    </row>
    <row r="14" customFormat="false" ht="18" hidden="false" customHeight="true" outlineLevel="0" collapsed="false">
      <c r="B14" s="8" t="s">
        <v>15</v>
      </c>
      <c r="C14" s="8"/>
      <c r="D14" s="9" t="s">
        <v>16</v>
      </c>
      <c r="E14" s="9"/>
      <c r="F14" s="9"/>
      <c r="G14" s="9"/>
      <c r="H14" s="9"/>
    </row>
    <row r="15" customFormat="false" ht="18" hidden="false" customHeight="true" outlineLevel="0" collapsed="false">
      <c r="B15" s="8" t="s">
        <v>17</v>
      </c>
      <c r="C15" s="8"/>
      <c r="D15" s="10" t="s">
        <v>18</v>
      </c>
      <c r="E15" s="10"/>
      <c r="F15" s="10"/>
      <c r="G15" s="10"/>
      <c r="H15" s="10"/>
    </row>
    <row r="16" customFormat="false" ht="12" hidden="false" customHeight="true" outlineLevel="0" collapsed="false"/>
    <row r="17" customFormat="false" ht="19.5" hidden="false" customHeight="true" outlineLevel="0" collapsed="false">
      <c r="B17" s="11" t="s">
        <v>19</v>
      </c>
      <c r="C17" s="11"/>
      <c r="D17" s="11"/>
      <c r="E17" s="11"/>
      <c r="F17" s="11"/>
      <c r="G17" s="11"/>
      <c r="H17" s="11"/>
    </row>
    <row r="18" customFormat="false" ht="16.5" hidden="false" customHeight="true" outlineLevel="0" collapsed="false">
      <c r="B18" s="12" t="s">
        <v>20</v>
      </c>
      <c r="C18" s="13" t="s">
        <v>21</v>
      </c>
      <c r="D18" s="13"/>
      <c r="E18" s="13"/>
      <c r="F18" s="13"/>
      <c r="G18" s="13"/>
      <c r="H18" s="13"/>
    </row>
    <row r="19" customFormat="false" ht="16.5" hidden="false" customHeight="true" outlineLevel="0" collapsed="false">
      <c r="B19" s="14" t="s">
        <v>22</v>
      </c>
      <c r="C19" s="15" t="s">
        <v>23</v>
      </c>
      <c r="D19" s="15"/>
      <c r="E19" s="15"/>
      <c r="F19" s="15"/>
      <c r="G19" s="15"/>
      <c r="H19" s="15"/>
    </row>
    <row r="20" customFormat="false" ht="16.5" hidden="false" customHeight="true" outlineLevel="0" collapsed="false">
      <c r="B20" s="12" t="s">
        <v>24</v>
      </c>
      <c r="C20" s="16" t="s">
        <v>25</v>
      </c>
      <c r="D20" s="16"/>
      <c r="E20" s="16"/>
      <c r="F20" s="16"/>
      <c r="G20" s="16"/>
      <c r="H20" s="16"/>
    </row>
    <row r="21" customFormat="false" ht="16.5" hidden="false" customHeight="true" outlineLevel="0" collapsed="false">
      <c r="B21" s="17" t="s">
        <v>26</v>
      </c>
      <c r="C21" s="18" t="s">
        <v>27</v>
      </c>
      <c r="D21" s="18"/>
      <c r="E21" s="18"/>
      <c r="F21" s="18"/>
      <c r="G21" s="18"/>
      <c r="H21" s="18"/>
    </row>
    <row r="22" customFormat="false" ht="16.5" hidden="false" customHeight="true" outlineLevel="0" collapsed="false">
      <c r="B22" s="12" t="s">
        <v>28</v>
      </c>
      <c r="C22" s="16" t="s">
        <v>29</v>
      </c>
      <c r="D22" s="16"/>
      <c r="E22" s="16"/>
      <c r="F22" s="16"/>
      <c r="G22" s="16"/>
      <c r="H22" s="16"/>
    </row>
    <row r="23" customFormat="false" ht="16.5" hidden="false" customHeight="true" outlineLevel="0" collapsed="false">
      <c r="B23" s="17" t="s">
        <v>30</v>
      </c>
      <c r="C23" s="18" t="s">
        <v>31</v>
      </c>
      <c r="D23" s="18"/>
      <c r="E23" s="18"/>
      <c r="F23" s="18"/>
      <c r="G23" s="18"/>
      <c r="H23" s="18"/>
    </row>
    <row r="24" customFormat="false" ht="16.5" hidden="false" customHeight="true" outlineLevel="0" collapsed="false">
      <c r="B24" s="12" t="s">
        <v>32</v>
      </c>
      <c r="C24" s="13" t="s">
        <v>33</v>
      </c>
      <c r="D24" s="13"/>
      <c r="E24" s="13"/>
      <c r="F24" s="13"/>
      <c r="G24" s="13"/>
      <c r="H24" s="13"/>
    </row>
    <row r="25" customFormat="false" ht="16.5" hidden="false" customHeight="true" outlineLevel="0" collapsed="false">
      <c r="B25" s="17" t="s">
        <v>34</v>
      </c>
      <c r="C25" s="15" t="s">
        <v>35</v>
      </c>
      <c r="D25" s="15"/>
      <c r="E25" s="15"/>
      <c r="F25" s="15"/>
      <c r="G25" s="15"/>
      <c r="H25" s="15"/>
    </row>
    <row r="26" customFormat="false" ht="16.5" hidden="false" customHeight="true" outlineLevel="0" collapsed="false">
      <c r="B26" s="12" t="s">
        <v>36</v>
      </c>
      <c r="C26" s="13" t="s">
        <v>37</v>
      </c>
      <c r="D26" s="13"/>
      <c r="E26" s="13"/>
      <c r="F26" s="13"/>
      <c r="G26" s="13"/>
      <c r="H26" s="13"/>
    </row>
  </sheetData>
  <mergeCells count="33">
    <mergeCell ref="B3:H3"/>
    <mergeCell ref="B4:H4"/>
    <mergeCell ref="B5:H5"/>
    <mergeCell ref="B7:C7"/>
    <mergeCell ref="D7:E7"/>
    <mergeCell ref="F7:G7"/>
    <mergeCell ref="H7:I7"/>
    <mergeCell ref="B8:C8"/>
    <mergeCell ref="D8:E8"/>
    <mergeCell ref="F8:G8"/>
    <mergeCell ref="H8:I8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B15:C15"/>
    <mergeCell ref="D15:H15"/>
    <mergeCell ref="B17:H17"/>
    <mergeCell ref="C18:H18"/>
    <mergeCell ref="C19:H19"/>
    <mergeCell ref="C20:H20"/>
    <mergeCell ref="C21:H21"/>
    <mergeCell ref="C22:H22"/>
    <mergeCell ref="C23:H23"/>
    <mergeCell ref="C24:H24"/>
    <mergeCell ref="C25:H25"/>
    <mergeCell ref="C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3" min="2" style="1" width="13"/>
  </cols>
  <sheetData>
    <row r="1" customFormat="false" ht="30" hidden="false" customHeight="true" outlineLevel="0" collapsed="false">
      <c r="A1" s="19" t="s">
        <v>38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4" customFormat="false" ht="19.5" hidden="false" customHeight="true" outlineLevel="0" collapsed="false">
      <c r="A4" s="20" t="s">
        <v>39</v>
      </c>
      <c r="B4" s="21" t="s">
        <v>40</v>
      </c>
      <c r="C4" s="21" t="s">
        <v>41</v>
      </c>
      <c r="D4" s="21" t="s">
        <v>42</v>
      </c>
      <c r="E4" s="21" t="s">
        <v>43</v>
      </c>
      <c r="F4" s="22" t="s">
        <v>44</v>
      </c>
      <c r="G4" s="23" t="s">
        <v>45</v>
      </c>
      <c r="H4" s="23" t="s">
        <v>46</v>
      </c>
      <c r="I4" s="23" t="s">
        <v>47</v>
      </c>
      <c r="J4" s="23" t="s">
        <v>48</v>
      </c>
      <c r="K4" s="23" t="s">
        <v>49</v>
      </c>
    </row>
    <row r="5" customFormat="false" ht="18" hidden="false" customHeight="true" outlineLevel="0" collapsed="false">
      <c r="A5" s="24" t="s">
        <v>50</v>
      </c>
      <c r="B5" s="24"/>
      <c r="C5" s="24"/>
      <c r="D5" s="24"/>
      <c r="E5" s="24"/>
      <c r="F5" s="24"/>
      <c r="G5" s="24"/>
      <c r="H5" s="24"/>
      <c r="I5" s="24"/>
      <c r="J5" s="24"/>
      <c r="K5" s="24"/>
    </row>
    <row r="6" customFormat="false" ht="16.5" hidden="false" customHeight="true" outlineLevel="0" collapsed="false">
      <c r="A6" s="25" t="s">
        <v>51</v>
      </c>
      <c r="B6" s="26" t="n">
        <v>950</v>
      </c>
      <c r="C6" s="26" t="n">
        <v>1837</v>
      </c>
      <c r="D6" s="26" t="n">
        <v>2286</v>
      </c>
      <c r="E6" s="26" t="n">
        <v>2846</v>
      </c>
      <c r="F6" s="26" t="n">
        <v>3769</v>
      </c>
      <c r="G6" s="27" t="n">
        <f aca="false">F6*(1+G7)</f>
        <v>4296.66</v>
      </c>
      <c r="H6" s="27" t="n">
        <f aca="false">G6*(1+H7)</f>
        <v>4915.37904</v>
      </c>
      <c r="I6" s="27" t="n">
        <f aca="false">H6*(1+I7)</f>
        <v>5613.36286368</v>
      </c>
      <c r="J6" s="27" t="n">
        <f aca="false">I6*(1+J7)</f>
        <v>6286.9664073216</v>
      </c>
      <c r="K6" s="27" t="n">
        <f aca="false">J6*(1+K7)</f>
        <v>6915.66304805376</v>
      </c>
    </row>
    <row r="7" customFormat="false" ht="16.5" hidden="false" customHeight="true" outlineLevel="0" collapsed="false">
      <c r="A7" s="28" t="s">
        <v>52</v>
      </c>
      <c r="B7" s="29" t="s">
        <v>53</v>
      </c>
      <c r="C7" s="30" t="n">
        <v>0.934</v>
      </c>
      <c r="D7" s="30" t="n">
        <v>0.244</v>
      </c>
      <c r="E7" s="30" t="n">
        <v>0.245</v>
      </c>
      <c r="F7" s="30" t="n">
        <v>0.324</v>
      </c>
      <c r="G7" s="31" t="n">
        <v>0.14</v>
      </c>
      <c r="H7" s="31" t="n">
        <v>0.144</v>
      </c>
      <c r="I7" s="31" t="n">
        <v>0.142</v>
      </c>
      <c r="J7" s="31" t="n">
        <v>0.12</v>
      </c>
      <c r="K7" s="31" t="n">
        <v>0.1</v>
      </c>
    </row>
    <row r="10" customFormat="false" ht="18" hidden="false" customHeight="true" outlineLevel="0" collapsed="false">
      <c r="A10" s="24" t="s">
        <v>54</v>
      </c>
      <c r="B10" s="24"/>
      <c r="C10" s="24"/>
      <c r="D10" s="24"/>
      <c r="E10" s="24"/>
      <c r="F10" s="24"/>
      <c r="G10" s="24"/>
      <c r="H10" s="24"/>
      <c r="I10" s="24"/>
      <c r="J10" s="24"/>
      <c r="K10" s="24"/>
    </row>
    <row r="11" customFormat="false" ht="16.5" hidden="false" customHeight="true" outlineLevel="0" collapsed="false">
      <c r="A11" s="28" t="s">
        <v>55</v>
      </c>
      <c r="B11" s="30" t="n">
        <v>0.321</v>
      </c>
      <c r="C11" s="30" t="n">
        <v>0.33</v>
      </c>
      <c r="D11" s="30" t="n">
        <v>0.346</v>
      </c>
      <c r="E11" s="30" t="n">
        <v>0.368</v>
      </c>
      <c r="F11" s="30" t="n">
        <v>0.385</v>
      </c>
      <c r="G11" s="31" t="n">
        <v>0.345</v>
      </c>
      <c r="H11" s="31" t="n">
        <v>0.352</v>
      </c>
      <c r="I11" s="31" t="n">
        <v>0.358</v>
      </c>
      <c r="J11" s="31" t="n">
        <v>0.362</v>
      </c>
      <c r="K11" s="31" t="n">
        <v>0.365</v>
      </c>
    </row>
    <row r="12" customFormat="false" ht="16.5" hidden="false" customHeight="true" outlineLevel="0" collapsed="false">
      <c r="A12" s="28" t="s">
        <v>56</v>
      </c>
      <c r="B12" s="30" t="n">
        <v>0.498</v>
      </c>
      <c r="C12" s="30" t="n">
        <v>0.281</v>
      </c>
      <c r="D12" s="30" t="n">
        <v>0.298</v>
      </c>
      <c r="E12" s="30" t="n">
        <v>0.32</v>
      </c>
      <c r="F12" s="30" t="n">
        <v>0.398</v>
      </c>
      <c r="G12" s="31" t="n">
        <v>0.41</v>
      </c>
      <c r="H12" s="31" t="n">
        <v>0.42</v>
      </c>
      <c r="I12" s="31" t="n">
        <v>0.425</v>
      </c>
      <c r="J12" s="31" t="n">
        <v>0.43</v>
      </c>
      <c r="K12" s="31" t="n">
        <v>0.43</v>
      </c>
    </row>
    <row r="13" customFormat="false" ht="16.5" hidden="false" customHeight="true" outlineLevel="0" collapsed="false">
      <c r="A13" s="28" t="s">
        <v>57</v>
      </c>
      <c r="B13" s="30" t="n">
        <v>0.016</v>
      </c>
      <c r="C13" s="30" t="n">
        <v>0.028</v>
      </c>
      <c r="D13" s="30" t="n">
        <v>0.038</v>
      </c>
      <c r="E13" s="30" t="n">
        <v>0.07</v>
      </c>
      <c r="F13" s="30" t="n">
        <v>0.098</v>
      </c>
      <c r="G13" s="31" t="n">
        <v>0.11</v>
      </c>
      <c r="H13" s="31" t="n">
        <v>0.125</v>
      </c>
      <c r="I13" s="31" t="n">
        <v>0.135</v>
      </c>
      <c r="J13" s="31" t="n">
        <v>0.145</v>
      </c>
      <c r="K13" s="31" t="n">
        <v>0.15</v>
      </c>
    </row>
    <row r="14" customFormat="false" ht="16.5" hidden="false" customHeight="true" outlineLevel="0" collapsed="false">
      <c r="A14" s="28" t="s">
        <v>58</v>
      </c>
      <c r="B14" s="30" t="n">
        <v>0.333</v>
      </c>
      <c r="C14" s="30" t="n">
        <v>0.643</v>
      </c>
      <c r="D14" s="30" t="n">
        <v>0.628</v>
      </c>
      <c r="E14" s="30" t="n">
        <v>0.752</v>
      </c>
      <c r="F14" s="30" t="n">
        <v>0.778</v>
      </c>
      <c r="G14" s="31" t="n">
        <v>0.25</v>
      </c>
      <c r="H14" s="31" t="n">
        <v>0.25</v>
      </c>
      <c r="I14" s="31" t="n">
        <v>0.25</v>
      </c>
      <c r="J14" s="31" t="n">
        <v>0.25</v>
      </c>
      <c r="K14" s="31" t="n">
        <v>0.25</v>
      </c>
    </row>
    <row r="17" customFormat="false" ht="18" hidden="false" customHeight="true" outlineLevel="0" collapsed="false">
      <c r="A17" s="24" t="s">
        <v>59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</row>
    <row r="18" customFormat="false" ht="16.5" hidden="false" customHeight="true" outlineLevel="0" collapsed="false">
      <c r="A18" s="28" t="s">
        <v>60</v>
      </c>
      <c r="B18" s="30" t="n">
        <v>0.579</v>
      </c>
      <c r="C18" s="30" t="n">
        <v>0.574</v>
      </c>
      <c r="D18" s="30" t="n">
        <v>0.56</v>
      </c>
      <c r="E18" s="30" t="n">
        <v>0.541</v>
      </c>
      <c r="F18" s="30" t="n">
        <v>0.525</v>
      </c>
      <c r="G18" s="31" t="n">
        <v>0.513</v>
      </c>
      <c r="H18" s="31" t="n">
        <v>0.503</v>
      </c>
      <c r="I18" s="31" t="n">
        <v>0.493</v>
      </c>
      <c r="J18" s="31" t="n">
        <v>0.483</v>
      </c>
      <c r="K18" s="31" t="n">
        <v>0.473</v>
      </c>
    </row>
    <row r="19" customFormat="false" ht="16.5" hidden="false" customHeight="true" outlineLevel="0" collapsed="false">
      <c r="A19" s="28" t="s">
        <v>61</v>
      </c>
      <c r="B19" s="30" t="n">
        <v>0.1</v>
      </c>
      <c r="C19" s="30" t="n">
        <v>0.095</v>
      </c>
      <c r="D19" s="30" t="n">
        <v>0.094</v>
      </c>
      <c r="E19" s="30" t="n">
        <v>0.091</v>
      </c>
      <c r="F19" s="30" t="n">
        <v>0.09</v>
      </c>
      <c r="G19" s="31" t="n">
        <v>0.09</v>
      </c>
      <c r="H19" s="31" t="n">
        <v>0.09</v>
      </c>
      <c r="I19" s="31" t="n">
        <v>0.09</v>
      </c>
      <c r="J19" s="31" t="n">
        <v>0.09</v>
      </c>
      <c r="K19" s="31" t="n">
        <v>0.09</v>
      </c>
    </row>
    <row r="20" customFormat="false" ht="16.5" hidden="false" customHeight="true" outlineLevel="0" collapsed="false">
      <c r="A20" s="28" t="s">
        <v>62</v>
      </c>
      <c r="B20" s="30" t="n">
        <v>0.2</v>
      </c>
      <c r="C20" s="30" t="n">
        <v>0.2</v>
      </c>
      <c r="D20" s="30" t="n">
        <v>0.2</v>
      </c>
      <c r="E20" s="30" t="n">
        <v>0.19</v>
      </c>
      <c r="F20" s="30" t="n">
        <v>0.18</v>
      </c>
      <c r="G20" s="31" t="n">
        <v>0.17</v>
      </c>
      <c r="H20" s="31" t="n">
        <v>0.165</v>
      </c>
      <c r="I20" s="31" t="n">
        <v>0.16</v>
      </c>
      <c r="J20" s="31" t="n">
        <v>0.155</v>
      </c>
      <c r="K20" s="31" t="n">
        <v>0.15</v>
      </c>
    </row>
    <row r="21" customFormat="false" ht="16.5" hidden="false" customHeight="true" outlineLevel="0" collapsed="false">
      <c r="A21" s="28" t="s">
        <v>63</v>
      </c>
      <c r="B21" s="30" t="n">
        <v>0.055</v>
      </c>
      <c r="C21" s="30" t="n">
        <v>0.053</v>
      </c>
      <c r="D21" s="30" t="n">
        <v>0.06</v>
      </c>
      <c r="E21" s="30" t="n">
        <v>0.06</v>
      </c>
      <c r="F21" s="30" t="n">
        <v>0.06</v>
      </c>
      <c r="G21" s="31" t="n">
        <v>0.058</v>
      </c>
      <c r="H21" s="31" t="n">
        <v>0.056</v>
      </c>
      <c r="I21" s="31" t="n">
        <v>0.054</v>
      </c>
      <c r="J21" s="31" t="n">
        <v>0.052</v>
      </c>
      <c r="K21" s="31" t="n">
        <v>0.05</v>
      </c>
    </row>
    <row r="24" customFormat="false" ht="18" hidden="false" customHeight="true" outlineLevel="0" collapsed="false">
      <c r="A24" s="24" t="s">
        <v>64</v>
      </c>
      <c r="B24" s="24"/>
      <c r="C24" s="24"/>
      <c r="D24" s="24"/>
      <c r="E24" s="24"/>
      <c r="F24" s="24"/>
      <c r="G24" s="24"/>
      <c r="H24" s="24"/>
      <c r="I24" s="24"/>
      <c r="J24" s="24"/>
      <c r="K24" s="24"/>
    </row>
    <row r="25" customFormat="false" ht="16.5" hidden="false" customHeight="true" outlineLevel="0" collapsed="false">
      <c r="A25" s="28" t="s">
        <v>65</v>
      </c>
      <c r="B25" s="32" t="n">
        <v>3.5</v>
      </c>
      <c r="C25" s="32" t="n">
        <v>5.5</v>
      </c>
      <c r="D25" s="32" t="n">
        <v>7</v>
      </c>
      <c r="E25" s="32" t="n">
        <v>17</v>
      </c>
      <c r="F25" s="32" t="n">
        <v>21</v>
      </c>
      <c r="G25" s="33" t="n">
        <v>25</v>
      </c>
      <c r="H25" s="33" t="n">
        <v>30</v>
      </c>
      <c r="I25" s="33" t="n">
        <v>35</v>
      </c>
      <c r="J25" s="33" t="n">
        <v>40</v>
      </c>
      <c r="K25" s="33" t="n">
        <v>44</v>
      </c>
    </row>
    <row r="26" customFormat="false" ht="16.5" hidden="false" customHeight="true" outlineLevel="0" collapsed="false">
      <c r="A26" s="28" t="s">
        <v>66</v>
      </c>
      <c r="B26" s="26" t="n">
        <v>2257</v>
      </c>
      <c r="C26" s="26" t="n">
        <v>2783</v>
      </c>
      <c r="D26" s="26" t="n">
        <v>2721</v>
      </c>
      <c r="E26" s="26" t="n">
        <v>1395</v>
      </c>
      <c r="F26" s="26" t="n">
        <v>1496</v>
      </c>
      <c r="G26" s="34" t="n">
        <v>1433</v>
      </c>
      <c r="H26" s="34" t="n">
        <v>1367</v>
      </c>
      <c r="I26" s="34" t="n">
        <v>1338</v>
      </c>
      <c r="J26" s="34" t="n">
        <v>1310</v>
      </c>
      <c r="K26" s="34" t="n">
        <v>1310</v>
      </c>
    </row>
    <row r="27" customFormat="false" ht="16.5" hidden="false" customHeight="true" outlineLevel="0" collapsed="false">
      <c r="A27" s="28" t="s">
        <v>67</v>
      </c>
      <c r="B27" s="30" t="n">
        <v>0.085</v>
      </c>
      <c r="C27" s="30" t="n">
        <v>0.112</v>
      </c>
      <c r="D27" s="30" t="n">
        <v>0.145</v>
      </c>
      <c r="E27" s="30" t="n">
        <v>0.175</v>
      </c>
      <c r="F27" s="30" t="n">
        <v>0.19</v>
      </c>
      <c r="G27" s="31" t="n">
        <v>0.195</v>
      </c>
      <c r="H27" s="31" t="n">
        <v>0.2</v>
      </c>
      <c r="I27" s="31" t="n">
        <v>0.205</v>
      </c>
      <c r="J27" s="31" t="n">
        <v>0.21</v>
      </c>
      <c r="K27" s="31" t="n">
        <v>0.215</v>
      </c>
    </row>
    <row r="30" customFormat="false" ht="18" hidden="false" customHeight="true" outlineLevel="0" collapsed="false">
      <c r="A30" s="24" t="s">
        <v>68</v>
      </c>
      <c r="B30" s="24"/>
      <c r="C30" s="24"/>
      <c r="D30" s="24"/>
      <c r="E30" s="24"/>
      <c r="F30" s="24"/>
      <c r="G30" s="24"/>
      <c r="H30" s="24"/>
      <c r="I30" s="24"/>
      <c r="J30" s="24"/>
      <c r="K30" s="24"/>
    </row>
    <row r="31" customFormat="false" ht="16.5" hidden="false" customHeight="true" outlineLevel="0" collapsed="false">
      <c r="A31" s="28" t="s">
        <v>69</v>
      </c>
      <c r="B31" s="26" t="n">
        <v>25</v>
      </c>
      <c r="C31" s="26" t="n">
        <v>35</v>
      </c>
      <c r="D31" s="26" t="n">
        <v>45</v>
      </c>
      <c r="E31" s="26" t="n">
        <v>55</v>
      </c>
      <c r="F31" s="26" t="n">
        <v>70</v>
      </c>
      <c r="G31" s="34" t="n">
        <v>85</v>
      </c>
      <c r="H31" s="34" t="n">
        <v>100</v>
      </c>
      <c r="I31" s="34" t="n">
        <v>120</v>
      </c>
      <c r="J31" s="34" t="n">
        <v>140</v>
      </c>
      <c r="K31" s="34" t="n">
        <v>160</v>
      </c>
    </row>
    <row r="32" customFormat="false" ht="16.5" hidden="false" customHeight="true" outlineLevel="0" collapsed="false">
      <c r="A32" s="28" t="s">
        <v>70</v>
      </c>
      <c r="B32" s="26" t="n">
        <v>500</v>
      </c>
      <c r="C32" s="26" t="n">
        <v>800</v>
      </c>
      <c r="D32" s="26" t="n">
        <v>1000</v>
      </c>
      <c r="E32" s="26" t="n">
        <v>1200</v>
      </c>
      <c r="F32" s="26" t="n">
        <v>1400</v>
      </c>
      <c r="G32" s="34" t="n">
        <v>1600</v>
      </c>
      <c r="H32" s="34" t="n">
        <v>1800</v>
      </c>
      <c r="I32" s="34" t="n">
        <v>2000</v>
      </c>
      <c r="J32" s="34" t="n">
        <v>2200</v>
      </c>
      <c r="K32" s="34" t="n">
        <v>2400</v>
      </c>
    </row>
    <row r="33" customFormat="false" ht="16.5" hidden="false" customHeight="true" outlineLevel="0" collapsed="false">
      <c r="A33" s="28" t="s">
        <v>71</v>
      </c>
      <c r="B33" s="26" t="n">
        <v>10</v>
      </c>
      <c r="C33" s="26" t="n">
        <v>15</v>
      </c>
      <c r="D33" s="26" t="n">
        <v>20</v>
      </c>
      <c r="E33" s="26" t="n">
        <v>25</v>
      </c>
      <c r="F33" s="26" t="n">
        <v>30</v>
      </c>
      <c r="G33" s="34" t="n">
        <v>35</v>
      </c>
      <c r="H33" s="34" t="n">
        <v>40</v>
      </c>
      <c r="I33" s="34" t="n">
        <v>45</v>
      </c>
      <c r="J33" s="34" t="n">
        <v>50</v>
      </c>
      <c r="K33" s="34" t="n">
        <v>55</v>
      </c>
    </row>
    <row r="34" customFormat="false" ht="16.5" hidden="false" customHeight="true" outlineLevel="0" collapsed="false">
      <c r="A34" s="28" t="s">
        <v>72</v>
      </c>
      <c r="B34" s="26" t="n">
        <v>500</v>
      </c>
      <c r="C34" s="26" t="n">
        <v>800</v>
      </c>
      <c r="D34" s="26" t="n">
        <v>1000</v>
      </c>
      <c r="E34" s="26" t="n">
        <v>1200</v>
      </c>
      <c r="F34" s="26" t="n">
        <v>1400</v>
      </c>
      <c r="G34" s="34" t="n">
        <v>1600</v>
      </c>
      <c r="H34" s="34" t="n">
        <v>1800</v>
      </c>
      <c r="I34" s="34" t="n">
        <v>2000</v>
      </c>
      <c r="J34" s="34" t="n">
        <v>2200</v>
      </c>
      <c r="K34" s="34" t="n">
        <v>2400</v>
      </c>
    </row>
    <row r="35" customFormat="false" ht="16.5" hidden="false" customHeight="true" outlineLevel="0" collapsed="false">
      <c r="A35" s="28" t="s">
        <v>73</v>
      </c>
      <c r="B35" s="26" t="n">
        <v>50</v>
      </c>
      <c r="C35" s="26" t="n">
        <v>60</v>
      </c>
      <c r="D35" s="26" t="n">
        <v>70</v>
      </c>
      <c r="E35" s="26" t="n">
        <v>80</v>
      </c>
      <c r="F35" s="26" t="n">
        <v>100</v>
      </c>
      <c r="G35" s="34" t="n">
        <v>120</v>
      </c>
      <c r="H35" s="34" t="n">
        <v>140</v>
      </c>
      <c r="I35" s="34" t="n">
        <v>160</v>
      </c>
      <c r="J35" s="34" t="n">
        <v>180</v>
      </c>
      <c r="K35" s="34" t="n">
        <v>200</v>
      </c>
    </row>
    <row r="36" customFormat="false" ht="16.5" hidden="false" customHeight="true" outlineLevel="0" collapsed="false">
      <c r="A36" s="28" t="s">
        <v>74</v>
      </c>
      <c r="B36" s="26" t="n">
        <v>-15</v>
      </c>
      <c r="C36" s="26" t="n">
        <v>-28</v>
      </c>
      <c r="D36" s="26" t="n">
        <v>-35</v>
      </c>
      <c r="E36" s="26" t="n">
        <v>-45</v>
      </c>
      <c r="F36" s="26" t="n">
        <v>-60</v>
      </c>
      <c r="G36" s="34" t="n">
        <v>-65</v>
      </c>
      <c r="H36" s="34" t="n">
        <v>-67</v>
      </c>
      <c r="I36" s="34" t="n">
        <v>-65</v>
      </c>
      <c r="J36" s="34" t="n">
        <v>-70</v>
      </c>
      <c r="K36" s="34" t="n">
        <v>-75</v>
      </c>
    </row>
    <row r="37" customFormat="false" ht="16.5" hidden="false" customHeight="true" outlineLevel="0" collapsed="false">
      <c r="A37" s="35" t="s">
        <v>75</v>
      </c>
      <c r="B37" s="36" t="s">
        <v>53</v>
      </c>
      <c r="C37" s="36" t="s">
        <v>53</v>
      </c>
      <c r="D37" s="36" t="s">
        <v>53</v>
      </c>
      <c r="E37" s="36" t="s">
        <v>53</v>
      </c>
      <c r="F37" s="31" t="n">
        <v>0.3</v>
      </c>
      <c r="G37" s="31" t="n">
        <v>0.1</v>
      </c>
      <c r="H37" s="31" t="n">
        <v>0.095</v>
      </c>
      <c r="I37" s="31" t="n">
        <v>0.09</v>
      </c>
      <c r="J37" s="31" t="n">
        <v>0.085</v>
      </c>
      <c r="K37" s="31" t="n">
        <v>0.08</v>
      </c>
      <c r="L37" s="20" t="s">
        <v>76</v>
      </c>
    </row>
    <row r="38" customFormat="false" ht="16.5" hidden="false" customHeight="true" outlineLevel="0" collapsed="false">
      <c r="A38" s="28" t="s">
        <v>77</v>
      </c>
      <c r="B38" s="26" t="n">
        <v>450</v>
      </c>
      <c r="C38" s="26" t="n">
        <v>280</v>
      </c>
      <c r="D38" s="26" t="n">
        <v>180</v>
      </c>
      <c r="E38" s="26" t="n">
        <v>120</v>
      </c>
      <c r="F38" s="26" t="n">
        <v>80</v>
      </c>
      <c r="G38" s="34" t="n">
        <v>40</v>
      </c>
      <c r="H38" s="34" t="n">
        <v>30</v>
      </c>
      <c r="I38" s="34" t="n">
        <v>20</v>
      </c>
      <c r="J38" s="34" t="n">
        <v>10</v>
      </c>
      <c r="K38" s="34" t="n">
        <v>0</v>
      </c>
    </row>
    <row r="39" customFormat="false" ht="15" hidden="false" customHeight="true" outlineLevel="0" collapsed="false">
      <c r="A39" s="28" t="s">
        <v>78</v>
      </c>
      <c r="B39" s="26" t="n">
        <v>-30</v>
      </c>
      <c r="C39" s="26" t="n">
        <v>-55</v>
      </c>
      <c r="D39" s="26" t="n">
        <v>-68</v>
      </c>
      <c r="E39" s="26" t="n">
        <v>-82</v>
      </c>
      <c r="F39" s="26" t="n">
        <v>-110</v>
      </c>
      <c r="G39" s="34" t="n">
        <v>-120</v>
      </c>
      <c r="H39" s="34" t="n">
        <v>-125</v>
      </c>
      <c r="I39" s="34" t="n">
        <v>-130</v>
      </c>
      <c r="J39" s="34" t="n">
        <v>-140</v>
      </c>
      <c r="K39" s="34" t="n">
        <v>-150</v>
      </c>
    </row>
    <row r="41" customFormat="false" ht="18" hidden="false" customHeight="true" outlineLevel="0" collapsed="false">
      <c r="A41" s="37"/>
      <c r="B41" s="37"/>
      <c r="C41" s="37"/>
      <c r="D41" s="37"/>
      <c r="E41" s="37"/>
    </row>
    <row r="42" customFormat="false" ht="16.5" hidden="false" customHeight="true" outlineLevel="0" collapsed="false">
      <c r="A42" s="38" t="s">
        <v>79</v>
      </c>
    </row>
    <row r="43" customFormat="false" ht="16.5" hidden="false" customHeight="true" outlineLevel="0" collapsed="false">
      <c r="A43" s="28" t="s">
        <v>80</v>
      </c>
      <c r="B43" s="39" t="n">
        <v>0.0661</v>
      </c>
      <c r="C43" s="20" t="s">
        <v>81</v>
      </c>
    </row>
    <row r="44" customFormat="false" ht="16.5" hidden="false" customHeight="true" outlineLevel="0" collapsed="false">
      <c r="A44" s="28" t="s">
        <v>82</v>
      </c>
      <c r="B44" s="40" t="n">
        <v>1.15</v>
      </c>
      <c r="C44" s="20" t="s">
        <v>83</v>
      </c>
    </row>
    <row r="45" customFormat="false" ht="16.5" hidden="false" customHeight="true" outlineLevel="0" collapsed="false">
      <c r="A45" s="28" t="s">
        <v>84</v>
      </c>
      <c r="B45" s="39" t="n">
        <v>0.07</v>
      </c>
      <c r="C45" s="20" t="s">
        <v>85</v>
      </c>
    </row>
    <row r="46" customFormat="false" ht="16.5" hidden="false" customHeight="true" outlineLevel="0" collapsed="false">
      <c r="A46" s="25" t="s">
        <v>86</v>
      </c>
      <c r="B46" s="41" t="n">
        <f aca="false">ROUND(B43+B44*B45,4)</f>
        <v>0.1466</v>
      </c>
      <c r="C46" s="42" t="s">
        <v>87</v>
      </c>
    </row>
    <row r="47" customFormat="false" ht="16.5" hidden="false" customHeight="true" outlineLevel="0" collapsed="false">
      <c r="A47" s="43" t="s">
        <v>88</v>
      </c>
      <c r="B47" s="44" t="n">
        <f aca="false">B49*B46</f>
        <v>0.1466</v>
      </c>
      <c r="C47" s="42" t="s">
        <v>89</v>
      </c>
    </row>
    <row r="48" customFormat="false" ht="16.5" hidden="false" customHeight="true" outlineLevel="0" collapsed="false">
      <c r="A48" s="28" t="s">
        <v>90</v>
      </c>
      <c r="B48" s="39" t="n">
        <v>0.045</v>
      </c>
      <c r="C48" s="20" t="s">
        <v>91</v>
      </c>
    </row>
    <row r="49" customFormat="false" ht="16.5" hidden="false" customHeight="true" outlineLevel="0" collapsed="false">
      <c r="A49" s="28" t="s">
        <v>92</v>
      </c>
      <c r="B49" s="31" t="n">
        <v>1</v>
      </c>
      <c r="C49" s="20" t="s">
        <v>93</v>
      </c>
    </row>
    <row r="50" customFormat="false" ht="16.5" hidden="false" customHeight="true" outlineLevel="0" collapsed="false">
      <c r="A50" s="28" t="s">
        <v>94</v>
      </c>
      <c r="B50" s="31" t="n">
        <v>0</v>
      </c>
      <c r="C50" s="20" t="s">
        <v>95</v>
      </c>
    </row>
    <row r="51" customFormat="false" ht="16.5" hidden="false" customHeight="true" outlineLevel="0" collapsed="false">
      <c r="A51" s="45" t="s">
        <v>96</v>
      </c>
    </row>
    <row r="52" customFormat="false" ht="21.75" hidden="false" customHeight="true" outlineLevel="0" collapsed="false">
      <c r="A52" s="45" t="s">
        <v>97</v>
      </c>
    </row>
  </sheetData>
  <mergeCells count="7">
    <mergeCell ref="A1:K1"/>
    <mergeCell ref="A5:K5"/>
    <mergeCell ref="A10:K10"/>
    <mergeCell ref="A17:K17"/>
    <mergeCell ref="A24:K24"/>
    <mergeCell ref="A30:K30"/>
    <mergeCell ref="A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11" min="2" style="1" width="13"/>
  </cols>
  <sheetData>
    <row r="1" customFormat="false" ht="30" hidden="false" customHeight="true" outlineLevel="0" collapsed="false">
      <c r="A1" s="19" t="s">
        <v>98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4" customFormat="false" ht="19.5" hidden="false" customHeight="true" outlineLevel="0" collapsed="false">
      <c r="A4" s="20" t="s">
        <v>39</v>
      </c>
      <c r="B4" s="21" t="s">
        <v>40</v>
      </c>
      <c r="C4" s="21" t="s">
        <v>41</v>
      </c>
      <c r="D4" s="21" t="s">
        <v>42</v>
      </c>
      <c r="E4" s="21" t="s">
        <v>43</v>
      </c>
      <c r="F4" s="22" t="s">
        <v>44</v>
      </c>
      <c r="G4" s="23" t="s">
        <v>45</v>
      </c>
      <c r="H4" s="23" t="s">
        <v>46</v>
      </c>
      <c r="I4" s="23" t="s">
        <v>47</v>
      </c>
      <c r="J4" s="23" t="s">
        <v>48</v>
      </c>
      <c r="K4" s="23" t="s">
        <v>49</v>
      </c>
    </row>
    <row r="5" customFormat="false" ht="18" hidden="false" customHeight="true" outlineLevel="0" collapsed="false">
      <c r="A5" s="24" t="s">
        <v>99</v>
      </c>
      <c r="B5" s="24"/>
      <c r="C5" s="24"/>
      <c r="D5" s="24"/>
      <c r="E5" s="24"/>
      <c r="F5" s="24"/>
      <c r="G5" s="24"/>
      <c r="H5" s="24"/>
      <c r="I5" s="24"/>
      <c r="J5" s="24"/>
      <c r="K5" s="24"/>
    </row>
    <row r="6" customFormat="false" ht="16.5" hidden="false" customHeight="true" outlineLevel="0" collapsed="false">
      <c r="A6" s="25" t="s">
        <v>100</v>
      </c>
      <c r="B6" s="46" t="n">
        <f aca="false">Assumptions!B6</f>
        <v>950</v>
      </c>
      <c r="C6" s="46" t="n">
        <f aca="false">Assumptions!C6</f>
        <v>1837</v>
      </c>
      <c r="D6" s="46" t="n">
        <f aca="false">Assumptions!D6</f>
        <v>2286</v>
      </c>
      <c r="E6" s="46" t="n">
        <f aca="false">Assumptions!E6</f>
        <v>2846</v>
      </c>
      <c r="F6" s="46" t="n">
        <f aca="false">Assumptions!F6</f>
        <v>3769</v>
      </c>
      <c r="G6" s="46" t="n">
        <f aca="false">Assumptions!G6</f>
        <v>4296.66</v>
      </c>
      <c r="H6" s="46" t="n">
        <f aca="false">Assumptions!H6</f>
        <v>4915.37904</v>
      </c>
      <c r="I6" s="46" t="n">
        <f aca="false">Assumptions!I6</f>
        <v>5613.36286368</v>
      </c>
      <c r="J6" s="46" t="n">
        <f aca="false">Assumptions!J6</f>
        <v>6286.9664073216</v>
      </c>
      <c r="K6" s="46" t="n">
        <f aca="false">Assumptions!K6</f>
        <v>6915.66304805376</v>
      </c>
    </row>
    <row r="7" customFormat="false" ht="16.5" hidden="false" customHeight="true" outlineLevel="0" collapsed="false">
      <c r="A7" s="28" t="s">
        <v>101</v>
      </c>
      <c r="B7" s="29" t="s">
        <v>53</v>
      </c>
      <c r="C7" s="47" t="n">
        <f aca="false">C6/B6-1</f>
        <v>0.933684210526316</v>
      </c>
      <c r="D7" s="47" t="n">
        <f aca="false">D6/C6-1</f>
        <v>0.244420250408274</v>
      </c>
      <c r="E7" s="47" t="n">
        <f aca="false">E6/D6-1</f>
        <v>0.244969378827647</v>
      </c>
      <c r="F7" s="47" t="n">
        <f aca="false">F6/E6-1</f>
        <v>0.324314827828531</v>
      </c>
      <c r="G7" s="47" t="n">
        <f aca="false">G6/F6-1</f>
        <v>0.14</v>
      </c>
      <c r="H7" s="47" t="n">
        <f aca="false">H6/G6-1</f>
        <v>0.144</v>
      </c>
      <c r="I7" s="47" t="n">
        <f aca="false">I6/H6-1</f>
        <v>0.142</v>
      </c>
      <c r="J7" s="47" t="n">
        <f aca="false">J6/I6-1</f>
        <v>0.12</v>
      </c>
      <c r="K7" s="47" t="n">
        <f aca="false">K6/J6-1</f>
        <v>0.1</v>
      </c>
    </row>
    <row r="8" customFormat="false" ht="18" hidden="false" customHeight="true" outlineLevel="0" collapsed="false">
      <c r="A8" s="24" t="s">
        <v>102</v>
      </c>
      <c r="B8" s="24"/>
      <c r="C8" s="24"/>
      <c r="D8" s="24"/>
      <c r="E8" s="24"/>
      <c r="F8" s="24"/>
      <c r="G8" s="24"/>
      <c r="H8" s="24"/>
      <c r="I8" s="24"/>
      <c r="J8" s="24"/>
      <c r="K8" s="24"/>
    </row>
    <row r="9" customFormat="false" ht="16.5" hidden="false" customHeight="true" outlineLevel="0" collapsed="false">
      <c r="A9" s="28" t="s">
        <v>103</v>
      </c>
      <c r="B9" s="48" t="n">
        <f aca="false">-B6*Assumptions!B18</f>
        <v>-550.05</v>
      </c>
      <c r="C9" s="48" t="n">
        <f aca="false">-C6*Assumptions!C18</f>
        <v>-1054.438</v>
      </c>
      <c r="D9" s="48" t="n">
        <f aca="false">-D6*Assumptions!D18</f>
        <v>-1280.16</v>
      </c>
      <c r="E9" s="48" t="n">
        <f aca="false">-E6*Assumptions!E18</f>
        <v>-1539.686</v>
      </c>
      <c r="F9" s="48" t="n">
        <f aca="false">-F6*Assumptions!F18</f>
        <v>-1978.725</v>
      </c>
      <c r="G9" s="48" t="n">
        <f aca="false">-G6*Assumptions!G18</f>
        <v>-2204.18658</v>
      </c>
      <c r="H9" s="48" t="n">
        <f aca="false">-H6*Assumptions!H18</f>
        <v>-2472.43565712</v>
      </c>
      <c r="I9" s="48" t="n">
        <f aca="false">-I6*Assumptions!I18</f>
        <v>-2767.38789179424</v>
      </c>
      <c r="J9" s="48" t="n">
        <f aca="false">-J6*Assumptions!J18</f>
        <v>-3036.60477473633</v>
      </c>
      <c r="K9" s="48" t="n">
        <f aca="false">-K6*Assumptions!K18</f>
        <v>-3271.10862172943</v>
      </c>
    </row>
    <row r="10" customFormat="false" ht="16.5" hidden="false" customHeight="true" outlineLevel="0" collapsed="false">
      <c r="A10" s="28" t="s">
        <v>104</v>
      </c>
      <c r="B10" s="48" t="n">
        <f aca="false">-B6*Assumptions!B19</f>
        <v>-95</v>
      </c>
      <c r="C10" s="48" t="n">
        <f aca="false">-C6*Assumptions!C19</f>
        <v>-174.515</v>
      </c>
      <c r="D10" s="48" t="n">
        <f aca="false">-D6*Assumptions!D19</f>
        <v>-214.884</v>
      </c>
      <c r="E10" s="48" t="n">
        <f aca="false">-E6*Assumptions!E19</f>
        <v>-258.986</v>
      </c>
      <c r="F10" s="48" t="n">
        <f aca="false">-F6*Assumptions!F19</f>
        <v>-339.21</v>
      </c>
      <c r="G10" s="48" t="n">
        <f aca="false">-G6*Assumptions!G19</f>
        <v>-386.6994</v>
      </c>
      <c r="H10" s="48" t="n">
        <f aca="false">-H6*Assumptions!H19</f>
        <v>-442.3841136</v>
      </c>
      <c r="I10" s="48" t="n">
        <f aca="false">-I6*Assumptions!I19</f>
        <v>-505.2026577312</v>
      </c>
      <c r="J10" s="48" t="n">
        <f aca="false">-J6*Assumptions!J19</f>
        <v>-565.826976658944</v>
      </c>
      <c r="K10" s="48" t="n">
        <f aca="false">-K6*Assumptions!K19</f>
        <v>-622.409674324839</v>
      </c>
    </row>
    <row r="11" customFormat="false" ht="16.5" hidden="false" customHeight="true" outlineLevel="0" collapsed="false">
      <c r="A11" s="25" t="s">
        <v>105</v>
      </c>
      <c r="B11" s="27" t="n">
        <f aca="false">B9+B10</f>
        <v>-645.05</v>
      </c>
      <c r="C11" s="27" t="n">
        <f aca="false">C9+C10</f>
        <v>-1228.953</v>
      </c>
      <c r="D11" s="27" t="n">
        <f aca="false">D9+D10</f>
        <v>-1495.044</v>
      </c>
      <c r="E11" s="27" t="n">
        <f aca="false">E9+E10</f>
        <v>-1798.672</v>
      </c>
      <c r="F11" s="27" t="n">
        <f aca="false">F9+F10</f>
        <v>-2317.935</v>
      </c>
      <c r="G11" s="27" t="n">
        <f aca="false">G9+G10</f>
        <v>-2590.88598</v>
      </c>
      <c r="H11" s="27" t="n">
        <f aca="false">H9+H10</f>
        <v>-2914.81977072</v>
      </c>
      <c r="I11" s="27" t="n">
        <f aca="false">I9+I10</f>
        <v>-3272.59054952544</v>
      </c>
      <c r="J11" s="27" t="n">
        <f aca="false">J9+J10</f>
        <v>-3602.43175139528</v>
      </c>
      <c r="K11" s="27" t="n">
        <f aca="false">K9+K10</f>
        <v>-3893.51829605427</v>
      </c>
    </row>
    <row r="12" customFormat="false" ht="16.5" hidden="false" customHeight="true" outlineLevel="0" collapsed="false">
      <c r="A12" s="25" t="s">
        <v>106</v>
      </c>
      <c r="B12" s="27" t="n">
        <f aca="false">B6+B11</f>
        <v>304.95</v>
      </c>
      <c r="C12" s="27" t="n">
        <f aca="false">C6+C11</f>
        <v>608.047</v>
      </c>
      <c r="D12" s="27" t="n">
        <f aca="false">D6+D11</f>
        <v>790.956</v>
      </c>
      <c r="E12" s="27" t="n">
        <f aca="false">E6+E11</f>
        <v>1047.328</v>
      </c>
      <c r="F12" s="27" t="n">
        <f aca="false">F6+F11</f>
        <v>1451.065</v>
      </c>
      <c r="G12" s="27" t="n">
        <f aca="false">G6+G11</f>
        <v>1705.77402</v>
      </c>
      <c r="H12" s="27" t="n">
        <f aca="false">H6+H11</f>
        <v>2000.55926928</v>
      </c>
      <c r="I12" s="27" t="n">
        <f aca="false">I6+I11</f>
        <v>2340.77231415456</v>
      </c>
      <c r="J12" s="27" t="n">
        <f aca="false">J6+J11</f>
        <v>2684.53465592632</v>
      </c>
      <c r="K12" s="27" t="n">
        <f aca="false">K6+K11</f>
        <v>3022.14475199949</v>
      </c>
    </row>
    <row r="13" customFormat="false" ht="16.5" hidden="false" customHeight="true" outlineLevel="0" collapsed="false">
      <c r="A13" s="28" t="s">
        <v>55</v>
      </c>
      <c r="B13" s="47" t="n">
        <f aca="false">B12/B6</f>
        <v>0.321</v>
      </c>
      <c r="C13" s="47" t="n">
        <f aca="false">C12/C6</f>
        <v>0.331</v>
      </c>
      <c r="D13" s="47" t="n">
        <f aca="false">D12/D6</f>
        <v>0.346</v>
      </c>
      <c r="E13" s="47" t="n">
        <f aca="false">E12/E6</f>
        <v>0.368</v>
      </c>
      <c r="F13" s="47" t="n">
        <f aca="false">F12/F6</f>
        <v>0.385</v>
      </c>
      <c r="G13" s="47" t="n">
        <f aca="false">G12/G6</f>
        <v>0.397</v>
      </c>
      <c r="H13" s="47" t="n">
        <f aca="false">H12/H6</f>
        <v>0.407</v>
      </c>
      <c r="I13" s="47" t="n">
        <f aca="false">I12/I6</f>
        <v>0.417</v>
      </c>
      <c r="J13" s="47" t="n">
        <f aca="false">J12/J6</f>
        <v>0.427</v>
      </c>
      <c r="K13" s="47" t="n">
        <f aca="false">K12/K6</f>
        <v>0.437</v>
      </c>
    </row>
    <row r="14" customFormat="false" ht="18" hidden="false" customHeight="true" outlineLevel="0" collapsed="false">
      <c r="A14" s="24" t="s">
        <v>107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</row>
    <row r="15" customFormat="false" ht="16.5" hidden="false" customHeight="true" outlineLevel="0" collapsed="false">
      <c r="A15" s="28" t="s">
        <v>108</v>
      </c>
      <c r="B15" s="48" t="n">
        <f aca="false">-B6*Assumptions!B20</f>
        <v>-190</v>
      </c>
      <c r="C15" s="48" t="n">
        <f aca="false">-C6*Assumptions!C20</f>
        <v>-367.4</v>
      </c>
      <c r="D15" s="48" t="n">
        <f aca="false">-D6*Assumptions!D20</f>
        <v>-457.2</v>
      </c>
      <c r="E15" s="48" t="n">
        <f aca="false">-E6*Assumptions!E20</f>
        <v>-540.74</v>
      </c>
      <c r="F15" s="48" t="n">
        <f aca="false">-F6*Assumptions!F20</f>
        <v>-678.42</v>
      </c>
      <c r="G15" s="48" t="n">
        <f aca="false">-G6*Assumptions!G20</f>
        <v>-730.4322</v>
      </c>
      <c r="H15" s="48" t="n">
        <f aca="false">-H6*Assumptions!H20</f>
        <v>-811.0375416</v>
      </c>
      <c r="I15" s="48" t="n">
        <f aca="false">-I6*Assumptions!I20</f>
        <v>-898.1380581888</v>
      </c>
      <c r="J15" s="48" t="n">
        <f aca="false">-J6*Assumptions!J20</f>
        <v>-974.479793134848</v>
      </c>
      <c r="K15" s="48" t="n">
        <f aca="false">-K6*Assumptions!K20</f>
        <v>-1037.34945720806</v>
      </c>
    </row>
    <row r="16" customFormat="false" ht="16.5" hidden="false" customHeight="true" outlineLevel="0" collapsed="false">
      <c r="A16" s="28" t="s">
        <v>109</v>
      </c>
      <c r="B16" s="48" t="n">
        <f aca="false">-B6*Assumptions!B19</f>
        <v>-95</v>
      </c>
      <c r="C16" s="48" t="n">
        <f aca="false">-C6*Assumptions!C19</f>
        <v>-174.515</v>
      </c>
      <c r="D16" s="48" t="n">
        <f aca="false">-D6*Assumptions!D19</f>
        <v>-214.884</v>
      </c>
      <c r="E16" s="48" t="n">
        <f aca="false">-E6*Assumptions!E19</f>
        <v>-258.986</v>
      </c>
      <c r="F16" s="48" t="n">
        <f aca="false">-F6*Assumptions!F19</f>
        <v>-339.21</v>
      </c>
      <c r="G16" s="48" t="n">
        <f aca="false">-G6*Assumptions!G19</f>
        <v>-386.6994</v>
      </c>
      <c r="H16" s="48" t="n">
        <f aca="false">-H6*Assumptions!H19</f>
        <v>-442.3841136</v>
      </c>
      <c r="I16" s="48" t="n">
        <f aca="false">-I6*Assumptions!I19</f>
        <v>-505.2026577312</v>
      </c>
      <c r="J16" s="48" t="n">
        <f aca="false">-J6*Assumptions!J19</f>
        <v>-565.826976658944</v>
      </c>
      <c r="K16" s="48" t="n">
        <f aca="false">-K6*Assumptions!K19</f>
        <v>-622.409674324839</v>
      </c>
    </row>
    <row r="17" customFormat="false" ht="16.5" hidden="false" customHeight="true" outlineLevel="0" collapsed="false">
      <c r="A17" s="28" t="s">
        <v>110</v>
      </c>
      <c r="B17" s="48" t="n">
        <f aca="false">-B6*Assumptions!B21</f>
        <v>-52.25</v>
      </c>
      <c r="C17" s="48" t="n">
        <f aca="false">-C6*Assumptions!C21</f>
        <v>-97.361</v>
      </c>
      <c r="D17" s="48" t="n">
        <f aca="false">-D6*Assumptions!D21</f>
        <v>-137.16</v>
      </c>
      <c r="E17" s="48" t="n">
        <f aca="false">-E6*Assumptions!E21</f>
        <v>-170.76</v>
      </c>
      <c r="F17" s="48" t="n">
        <f aca="false">-F6*Assumptions!F21</f>
        <v>-226.14</v>
      </c>
      <c r="G17" s="48" t="n">
        <f aca="false">-G6*Assumptions!G21</f>
        <v>-249.20628</v>
      </c>
      <c r="H17" s="48" t="n">
        <f aca="false">-H6*Assumptions!H21</f>
        <v>-275.26122624</v>
      </c>
      <c r="I17" s="48" t="n">
        <f aca="false">-I6*Assumptions!I21</f>
        <v>-303.12159463872</v>
      </c>
      <c r="J17" s="48" t="n">
        <f aca="false">-J6*Assumptions!J21</f>
        <v>-326.922253180723</v>
      </c>
      <c r="K17" s="48" t="n">
        <f aca="false">-K6*Assumptions!K21</f>
        <v>-345.783152402688</v>
      </c>
    </row>
    <row r="18" customFormat="false" ht="16.5" hidden="false" customHeight="true" outlineLevel="0" collapsed="false">
      <c r="A18" s="25" t="s">
        <v>111</v>
      </c>
      <c r="B18" s="27" t="n">
        <f aca="false">B15+B16+B17</f>
        <v>-337.25</v>
      </c>
      <c r="C18" s="27" t="n">
        <f aca="false">C15+C16+C17</f>
        <v>-639.276</v>
      </c>
      <c r="D18" s="27" t="n">
        <f aca="false">D15+D16+D17</f>
        <v>-809.244</v>
      </c>
      <c r="E18" s="27" t="n">
        <f aca="false">E15+E16+E17</f>
        <v>-970.486</v>
      </c>
      <c r="F18" s="27" t="n">
        <f aca="false">F15+F16+F17</f>
        <v>-1243.77</v>
      </c>
      <c r="G18" s="27" t="n">
        <f aca="false">G15+G16+G17</f>
        <v>-1366.33788</v>
      </c>
      <c r="H18" s="27" t="n">
        <f aca="false">H15+H16+H17</f>
        <v>-1528.68288144</v>
      </c>
      <c r="I18" s="27" t="n">
        <f aca="false">I15+I16+I17</f>
        <v>-1706.46231055872</v>
      </c>
      <c r="J18" s="27" t="n">
        <f aca="false">J15+J16+J17</f>
        <v>-1867.22902297452</v>
      </c>
      <c r="K18" s="27" t="n">
        <f aca="false">K15+K16+K17</f>
        <v>-2005.54228393559</v>
      </c>
    </row>
    <row r="19" customFormat="false" ht="18" hidden="false" customHeight="true" outlineLevel="0" collapsed="false">
      <c r="A19" s="24" t="s">
        <v>112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</row>
    <row r="20" customFormat="false" ht="16.5" hidden="false" customHeight="true" outlineLevel="0" collapsed="false">
      <c r="A20" s="25" t="s">
        <v>113</v>
      </c>
      <c r="B20" s="27" t="n">
        <f aca="false">B6*Assumptions!B12</f>
        <v>473.1</v>
      </c>
      <c r="C20" s="27" t="n">
        <f aca="false">C6*Assumptions!C12</f>
        <v>516.197</v>
      </c>
      <c r="D20" s="27" t="n">
        <f aca="false">D6*Assumptions!D12</f>
        <v>681.228</v>
      </c>
      <c r="E20" s="27" t="n">
        <f aca="false">E6*Assumptions!E12</f>
        <v>910.72</v>
      </c>
      <c r="F20" s="27" t="n">
        <f aca="false">F6*Assumptions!F12</f>
        <v>1500.062</v>
      </c>
      <c r="G20" s="27" t="n">
        <f aca="false">G6*Assumptions!G12</f>
        <v>1761.6306</v>
      </c>
      <c r="H20" s="27" t="n">
        <f aca="false">H6*Assumptions!H12</f>
        <v>2064.4591968</v>
      </c>
      <c r="I20" s="27" t="n">
        <f aca="false">I6*Assumptions!I12</f>
        <v>2385.679217064</v>
      </c>
      <c r="J20" s="27" t="n">
        <f aca="false">J6*Assumptions!J12</f>
        <v>2703.39555514829</v>
      </c>
      <c r="K20" s="27" t="n">
        <f aca="false">K6*Assumptions!K12</f>
        <v>2973.73511066312</v>
      </c>
    </row>
    <row r="21" customFormat="false" ht="16.5" hidden="false" customHeight="true" outlineLevel="0" collapsed="false">
      <c r="A21" s="28" t="s">
        <v>56</v>
      </c>
      <c r="B21" s="47" t="n">
        <f aca="false">B20/B6</f>
        <v>0.498</v>
      </c>
      <c r="C21" s="47" t="n">
        <f aca="false">C20/C6</f>
        <v>0.281</v>
      </c>
      <c r="D21" s="47" t="n">
        <f aca="false">D20/D6</f>
        <v>0.298</v>
      </c>
      <c r="E21" s="47" t="n">
        <f aca="false">E20/E6</f>
        <v>0.32</v>
      </c>
      <c r="F21" s="47" t="n">
        <f aca="false">F20/F6</f>
        <v>0.398</v>
      </c>
      <c r="G21" s="47" t="n">
        <f aca="false">G20/G6</f>
        <v>0.41</v>
      </c>
      <c r="H21" s="47" t="n">
        <f aca="false">H20/H6</f>
        <v>0.42</v>
      </c>
      <c r="I21" s="47" t="n">
        <f aca="false">I20/I6</f>
        <v>0.425</v>
      </c>
      <c r="J21" s="47" t="n">
        <f aca="false">J20/J6</f>
        <v>0.43</v>
      </c>
      <c r="K21" s="47" t="n">
        <f aca="false">K20/K6</f>
        <v>0.43</v>
      </c>
    </row>
    <row r="22" customFormat="false" ht="16.5" hidden="false" customHeight="true" outlineLevel="0" collapsed="false">
      <c r="A22" s="28" t="s">
        <v>114</v>
      </c>
      <c r="B22" s="48" t="n">
        <f aca="false">-(B20-B23)</f>
        <v>-457.9</v>
      </c>
      <c r="C22" s="48" t="n">
        <f aca="false">-(C20-C23)</f>
        <v>-464.761</v>
      </c>
      <c r="D22" s="48" t="n">
        <f aca="false">-(D20-D23)</f>
        <v>-594.36</v>
      </c>
      <c r="E22" s="48" t="n">
        <f aca="false">-(E20-E23)</f>
        <v>-711.5</v>
      </c>
      <c r="F22" s="48" t="n">
        <f aca="false">-(F20-F23)</f>
        <v>-1130.7</v>
      </c>
      <c r="G22" s="48" t="n">
        <f aca="false">-(G20-G23)</f>
        <v>-1288.998</v>
      </c>
      <c r="H22" s="48" t="n">
        <f aca="false">-(H20-H23)</f>
        <v>-1450.0368168</v>
      </c>
      <c r="I22" s="48" t="n">
        <f aca="false">-(I20-I23)</f>
        <v>-1627.8752304672</v>
      </c>
      <c r="J22" s="48" t="n">
        <f aca="false">-(J20-J23)</f>
        <v>-1791.78542608666</v>
      </c>
      <c r="K22" s="48" t="n">
        <f aca="false">-(K20-K23)</f>
        <v>-1936.38565345505</v>
      </c>
    </row>
    <row r="23" customFormat="false" ht="16.5" hidden="false" customHeight="true" outlineLevel="0" collapsed="false">
      <c r="A23" s="25" t="s">
        <v>115</v>
      </c>
      <c r="B23" s="27" t="n">
        <f aca="false">B6*Assumptions!B13</f>
        <v>15.2</v>
      </c>
      <c r="C23" s="27" t="n">
        <f aca="false">C6*Assumptions!C13</f>
        <v>51.436</v>
      </c>
      <c r="D23" s="27" t="n">
        <f aca="false">D6*Assumptions!D13</f>
        <v>86.868</v>
      </c>
      <c r="E23" s="27" t="n">
        <f aca="false">E6*Assumptions!E13</f>
        <v>199.22</v>
      </c>
      <c r="F23" s="27" t="n">
        <f aca="false">F6*Assumptions!F13</f>
        <v>369.362</v>
      </c>
      <c r="G23" s="27" t="n">
        <f aca="false">G6*Assumptions!G13</f>
        <v>472.6326</v>
      </c>
      <c r="H23" s="27" t="n">
        <f aca="false">H6*Assumptions!H13</f>
        <v>614.42238</v>
      </c>
      <c r="I23" s="27" t="n">
        <f aca="false">I6*Assumptions!I13</f>
        <v>757.8039865968</v>
      </c>
      <c r="J23" s="27" t="n">
        <f aca="false">J6*Assumptions!J13</f>
        <v>911.610129061632</v>
      </c>
      <c r="K23" s="27" t="n">
        <f aca="false">K6*Assumptions!K13</f>
        <v>1037.34945720806</v>
      </c>
    </row>
    <row r="24" customFormat="false" ht="16.5" hidden="false" customHeight="true" outlineLevel="0" collapsed="false">
      <c r="A24" s="28" t="s">
        <v>116</v>
      </c>
      <c r="B24" s="47" t="n">
        <f aca="false">B23/B6</f>
        <v>0.016</v>
      </c>
      <c r="C24" s="47" t="n">
        <f aca="false">C23/C6</f>
        <v>0.028</v>
      </c>
      <c r="D24" s="47" t="n">
        <f aca="false">D23/D6</f>
        <v>0.038</v>
      </c>
      <c r="E24" s="47" t="n">
        <f aca="false">E23/E6</f>
        <v>0.07</v>
      </c>
      <c r="F24" s="47" t="n">
        <f aca="false">F23/F6</f>
        <v>0.098</v>
      </c>
      <c r="G24" s="47" t="n">
        <f aca="false">G23/G6</f>
        <v>0.11</v>
      </c>
      <c r="H24" s="47" t="n">
        <f aca="false">H23/H6</f>
        <v>0.125</v>
      </c>
      <c r="I24" s="47" t="n">
        <f aca="false">I23/I6</f>
        <v>0.135</v>
      </c>
      <c r="J24" s="47" t="n">
        <f aca="false">J23/J6</f>
        <v>0.145</v>
      </c>
      <c r="K24" s="47" t="n">
        <f aca="false">K23/K6</f>
        <v>0.15</v>
      </c>
    </row>
    <row r="25" customFormat="false" ht="16.5" hidden="false" customHeight="true" outlineLevel="0" collapsed="false">
      <c r="A25" s="25" t="s">
        <v>117</v>
      </c>
      <c r="B25" s="27" t="n">
        <f aca="false">B23</f>
        <v>15.2</v>
      </c>
      <c r="C25" s="27" t="n">
        <f aca="false">C23</f>
        <v>51.436</v>
      </c>
      <c r="D25" s="27" t="n">
        <f aca="false">D23</f>
        <v>86.868</v>
      </c>
      <c r="E25" s="27" t="n">
        <f aca="false">E23</f>
        <v>199.22</v>
      </c>
      <c r="F25" s="27" t="n">
        <f aca="false">F23</f>
        <v>369.362</v>
      </c>
      <c r="G25" s="27" t="n">
        <f aca="false">G23</f>
        <v>472.6326</v>
      </c>
      <c r="H25" s="27" t="n">
        <f aca="false">H23</f>
        <v>614.42238</v>
      </c>
      <c r="I25" s="27" t="n">
        <f aca="false">I23</f>
        <v>757.8039865968</v>
      </c>
      <c r="J25" s="27" t="n">
        <f aca="false">J23</f>
        <v>911.610129061632</v>
      </c>
      <c r="K25" s="27" t="n">
        <f aca="false">K23</f>
        <v>1037.34945720806</v>
      </c>
    </row>
    <row r="26" customFormat="false" ht="16.5" hidden="false" customHeight="true" outlineLevel="0" collapsed="false">
      <c r="A26" s="28" t="s">
        <v>118</v>
      </c>
      <c r="B26" s="48" t="n">
        <f aca="false">IF(B25&gt;0,-B25*Assumptions!B14,0)</f>
        <v>-5.0616</v>
      </c>
      <c r="C26" s="48" t="n">
        <f aca="false">IF(C25&gt;0,-C25*Assumptions!C14,0)</f>
        <v>-33.073348</v>
      </c>
      <c r="D26" s="48" t="n">
        <f aca="false">IF(D25&gt;0,-D25*Assumptions!D14,0)</f>
        <v>-54.553104</v>
      </c>
      <c r="E26" s="48" t="n">
        <f aca="false">IF(E25&gt;0,-E25*Assumptions!E14,0)</f>
        <v>-149.81344</v>
      </c>
      <c r="F26" s="48" t="n">
        <f aca="false">IF(F25&gt;0,-F25*Assumptions!F14,0)</f>
        <v>-287.363636</v>
      </c>
      <c r="G26" s="48" t="n">
        <f aca="false">IF(G25&gt;0,-G25*Assumptions!G14,0)</f>
        <v>-118.15815</v>
      </c>
      <c r="H26" s="48" t="n">
        <f aca="false">IF(H25&gt;0,-H25*Assumptions!H14,0)</f>
        <v>-153.605595</v>
      </c>
      <c r="I26" s="48" t="n">
        <f aca="false">IF(I25&gt;0,-I25*Assumptions!I14,0)</f>
        <v>-189.4509966492</v>
      </c>
      <c r="J26" s="48" t="n">
        <f aca="false">IF(J25&gt;0,-J25*Assumptions!J14,0)</f>
        <v>-227.902532265408</v>
      </c>
      <c r="K26" s="48" t="n">
        <f aca="false">IF(K25&gt;0,-K25*Assumptions!K14,0)</f>
        <v>-259.337364302016</v>
      </c>
    </row>
    <row r="27" customFormat="false" ht="16.5" hidden="false" customHeight="true" outlineLevel="0" collapsed="false">
      <c r="A27" s="28" t="s">
        <v>119</v>
      </c>
      <c r="B27" s="47" t="n">
        <f aca="false">IF(B25&lt;&gt;0,ABS(B26/B25),0)</f>
        <v>0.333</v>
      </c>
      <c r="C27" s="47" t="n">
        <f aca="false">IF(C25&lt;&gt;0,ABS(C26/C25),0)</f>
        <v>0.643</v>
      </c>
      <c r="D27" s="47" t="n">
        <f aca="false">IF(D25&lt;&gt;0,ABS(D26/D25),0)</f>
        <v>0.628</v>
      </c>
      <c r="E27" s="47" t="n">
        <f aca="false">IF(E25&lt;&gt;0,ABS(E26/E25),0)</f>
        <v>0.752</v>
      </c>
      <c r="F27" s="47" t="n">
        <f aca="false">IF(F25&lt;&gt;0,ABS(F26/F25),0)</f>
        <v>0.778</v>
      </c>
      <c r="G27" s="47" t="n">
        <f aca="false">IF(G25&lt;&gt;0,ABS(G26/G25),0)</f>
        <v>0.25</v>
      </c>
      <c r="H27" s="47" t="n">
        <f aca="false">IF(H25&lt;&gt;0,ABS(H26/H25),0)</f>
        <v>0.25</v>
      </c>
      <c r="I27" s="47" t="n">
        <f aca="false">IF(I25&lt;&gt;0,ABS(I26/I25),0)</f>
        <v>0.25</v>
      </c>
      <c r="J27" s="47" t="n">
        <f aca="false">IF(J25&lt;&gt;0,ABS(J26/J25),0)</f>
        <v>0.25</v>
      </c>
      <c r="K27" s="47" t="n">
        <f aca="false">IF(K25&lt;&gt;0,ABS(K26/K25),0)</f>
        <v>0.25</v>
      </c>
    </row>
    <row r="28" customFormat="false" ht="16.5" hidden="false" customHeight="true" outlineLevel="0" collapsed="false">
      <c r="A28" s="43" t="s">
        <v>120</v>
      </c>
      <c r="B28" s="49" t="n">
        <f aca="false">B25+B26</f>
        <v>10.1384</v>
      </c>
      <c r="C28" s="49" t="n">
        <f aca="false">C25+C26</f>
        <v>18.362652</v>
      </c>
      <c r="D28" s="49" t="n">
        <f aca="false">D25+D26</f>
        <v>32.314896</v>
      </c>
      <c r="E28" s="49" t="n">
        <f aca="false">E25+E26</f>
        <v>49.40656</v>
      </c>
      <c r="F28" s="49" t="n">
        <f aca="false">F25+F26</f>
        <v>81.998364</v>
      </c>
      <c r="G28" s="49" t="n">
        <f aca="false">G25+G26</f>
        <v>354.47445</v>
      </c>
      <c r="H28" s="49" t="n">
        <f aca="false">H25+H26</f>
        <v>460.816785</v>
      </c>
      <c r="I28" s="49" t="n">
        <f aca="false">I25+I26</f>
        <v>568.3529899476</v>
      </c>
      <c r="J28" s="49" t="n">
        <f aca="false">J25+J26</f>
        <v>683.707596796224</v>
      </c>
      <c r="K28" s="49" t="n">
        <f aca="false">K25+K26</f>
        <v>778.012092906048</v>
      </c>
    </row>
    <row r="29" customFormat="false" ht="16.5" hidden="false" customHeight="true" outlineLevel="0" collapsed="false">
      <c r="A29" s="28" t="s">
        <v>121</v>
      </c>
      <c r="B29" s="47" t="n">
        <f aca="false">B28/B6</f>
        <v>0.010672</v>
      </c>
      <c r="C29" s="47" t="n">
        <f aca="false">C28/C6</f>
        <v>0.009996</v>
      </c>
      <c r="D29" s="47" t="n">
        <f aca="false">D28/D6</f>
        <v>0.014136</v>
      </c>
      <c r="E29" s="47" t="n">
        <f aca="false">E28/E6</f>
        <v>0.01736</v>
      </c>
      <c r="F29" s="47" t="n">
        <f aca="false">F28/F6</f>
        <v>0.021756</v>
      </c>
      <c r="G29" s="47" t="n">
        <f aca="false">G28/G6</f>
        <v>0.0825</v>
      </c>
      <c r="H29" s="47" t="n">
        <f aca="false">H28/H6</f>
        <v>0.09375</v>
      </c>
      <c r="I29" s="47" t="n">
        <f aca="false">I28/I6</f>
        <v>0.10125</v>
      </c>
      <c r="J29" s="47" t="n">
        <f aca="false">J28/J6</f>
        <v>0.10875</v>
      </c>
      <c r="K29" s="47" t="n">
        <f aca="false">K28/K6</f>
        <v>0.1125</v>
      </c>
    </row>
    <row r="30" customFormat="false" ht="18" hidden="false" customHeight="true" outlineLevel="0" collapsed="false">
      <c r="A30" s="24" t="s">
        <v>122</v>
      </c>
      <c r="B30" s="24"/>
      <c r="C30" s="24"/>
      <c r="D30" s="24"/>
      <c r="E30" s="24"/>
      <c r="F30" s="24"/>
      <c r="G30" s="24"/>
      <c r="H30" s="24"/>
      <c r="I30" s="24"/>
      <c r="J30" s="24"/>
      <c r="K30" s="24"/>
    </row>
    <row r="31" customFormat="false" ht="16.5" hidden="false" customHeight="true" outlineLevel="0" collapsed="false">
      <c r="A31" s="28" t="s">
        <v>65</v>
      </c>
      <c r="B31" s="50" t="n">
        <f aca="false">Assumptions!B25</f>
        <v>3.5</v>
      </c>
      <c r="C31" s="50" t="n">
        <f aca="false">Assumptions!C25</f>
        <v>5.5</v>
      </c>
      <c r="D31" s="50" t="n">
        <f aca="false">Assumptions!D25</f>
        <v>7</v>
      </c>
      <c r="E31" s="50" t="n">
        <f aca="false">Assumptions!E25</f>
        <v>17</v>
      </c>
      <c r="F31" s="50" t="n">
        <f aca="false">Assumptions!F25</f>
        <v>21</v>
      </c>
      <c r="G31" s="50" t="n">
        <f aca="false">Assumptions!G25</f>
        <v>25</v>
      </c>
      <c r="H31" s="50" t="n">
        <f aca="false">Assumptions!H25</f>
        <v>30</v>
      </c>
      <c r="I31" s="50" t="n">
        <f aca="false">Assumptions!I25</f>
        <v>35</v>
      </c>
      <c r="J31" s="50" t="n">
        <f aca="false">Assumptions!J25</f>
        <v>40</v>
      </c>
      <c r="K31" s="50" t="n">
        <f aca="false">Assumptions!K25</f>
        <v>44</v>
      </c>
    </row>
    <row r="32" customFormat="false" ht="16.5" hidden="false" customHeight="true" outlineLevel="0" collapsed="false">
      <c r="A32" s="28" t="s">
        <v>66</v>
      </c>
      <c r="B32" s="51" t="n">
        <f aca="false">Assumptions!B26</f>
        <v>2257</v>
      </c>
      <c r="C32" s="51" t="n">
        <f aca="false">Assumptions!C26</f>
        <v>2783</v>
      </c>
      <c r="D32" s="51" t="n">
        <f aca="false">Assumptions!D26</f>
        <v>2721</v>
      </c>
      <c r="E32" s="51" t="n">
        <f aca="false">Assumptions!E26</f>
        <v>1395</v>
      </c>
      <c r="F32" s="51" t="n">
        <f aca="false">Assumptions!F26</f>
        <v>1496</v>
      </c>
      <c r="G32" s="51" t="n">
        <f aca="false">Assumptions!G26</f>
        <v>1433</v>
      </c>
      <c r="H32" s="51" t="n">
        <f aca="false">Assumptions!H26</f>
        <v>1367</v>
      </c>
      <c r="I32" s="51" t="n">
        <f aca="false">Assumptions!I26</f>
        <v>1338</v>
      </c>
      <c r="J32" s="51" t="n">
        <f aca="false">Assumptions!J26</f>
        <v>1310</v>
      </c>
      <c r="K32" s="51" t="n">
        <f aca="false">Assumptions!K26</f>
        <v>1310</v>
      </c>
    </row>
    <row r="33" customFormat="false" ht="16.5" hidden="false" customHeight="true" outlineLevel="0" collapsed="false">
      <c r="A33" s="28" t="s">
        <v>67</v>
      </c>
      <c r="B33" s="52" t="n">
        <f aca="false">Assumptions!B27</f>
        <v>0.085</v>
      </c>
      <c r="C33" s="52" t="n">
        <f aca="false">Assumptions!C27</f>
        <v>0.112</v>
      </c>
      <c r="D33" s="52" t="n">
        <f aca="false">Assumptions!D27</f>
        <v>0.145</v>
      </c>
      <c r="E33" s="52" t="n">
        <f aca="false">Assumptions!E27</f>
        <v>0.175</v>
      </c>
      <c r="F33" s="52" t="n">
        <f aca="false">Assumptions!F27</f>
        <v>0.19</v>
      </c>
      <c r="G33" s="52" t="n">
        <f aca="false">Assumptions!G27</f>
        <v>0.195</v>
      </c>
      <c r="H33" s="52" t="n">
        <f aca="false">Assumptions!H27</f>
        <v>0.2</v>
      </c>
      <c r="I33" s="52" t="n">
        <f aca="false">Assumptions!I27</f>
        <v>0.205</v>
      </c>
      <c r="J33" s="52" t="n">
        <f aca="false">Assumptions!J27</f>
        <v>0.21</v>
      </c>
      <c r="K33" s="52" t="n">
        <f aca="false">Assumptions!K27</f>
        <v>0.215</v>
      </c>
    </row>
    <row r="35" customFormat="false" ht="18" hidden="false" customHeight="true" outlineLevel="0" collapsed="false">
      <c r="A35" s="24" t="s">
        <v>123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</row>
    <row r="36" customFormat="false" ht="16.5" hidden="false" customHeight="true" outlineLevel="0" collapsed="false">
      <c r="A36" s="53" t="s">
        <v>124</v>
      </c>
      <c r="B36" s="54" t="s">
        <v>125</v>
      </c>
    </row>
    <row r="37" customFormat="false" ht="16.5" hidden="false" customHeight="true" outlineLevel="0" collapsed="false">
      <c r="A37" s="55" t="s">
        <v>126</v>
      </c>
      <c r="B37" s="54" t="s">
        <v>127</v>
      </c>
    </row>
    <row r="38" customFormat="false" ht="16.5" hidden="false" customHeight="true" outlineLevel="0" collapsed="false">
      <c r="A38" s="28" t="s">
        <v>128</v>
      </c>
      <c r="B38" s="54" t="s">
        <v>129</v>
      </c>
    </row>
  </sheetData>
  <mergeCells count="7">
    <mergeCell ref="A1:K1"/>
    <mergeCell ref="A5:K5"/>
    <mergeCell ref="A8:K8"/>
    <mergeCell ref="A14:K14"/>
    <mergeCell ref="A19:K19"/>
    <mergeCell ref="A30:K30"/>
    <mergeCell ref="A35:K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11" min="2" style="1" width="13"/>
  </cols>
  <sheetData>
    <row r="1" customFormat="false" ht="30" hidden="false" customHeight="true" outlineLevel="0" collapsed="false">
      <c r="A1" s="19" t="s">
        <v>130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4" customFormat="false" ht="19.5" hidden="false" customHeight="true" outlineLevel="0" collapsed="false">
      <c r="A4" s="20" t="s">
        <v>39</v>
      </c>
      <c r="B4" s="21" t="s">
        <v>40</v>
      </c>
      <c r="C4" s="21" t="s">
        <v>41</v>
      </c>
      <c r="D4" s="21" t="s">
        <v>42</v>
      </c>
      <c r="E4" s="21" t="s">
        <v>43</v>
      </c>
      <c r="F4" s="22" t="s">
        <v>44</v>
      </c>
      <c r="G4" s="23" t="s">
        <v>45</v>
      </c>
      <c r="H4" s="23" t="s">
        <v>46</v>
      </c>
      <c r="I4" s="23" t="s">
        <v>47</v>
      </c>
      <c r="J4" s="23" t="s">
        <v>48</v>
      </c>
      <c r="K4" s="23" t="s">
        <v>49</v>
      </c>
    </row>
    <row r="5" customFormat="false" ht="18" hidden="false" customHeight="true" outlineLevel="0" collapsed="false">
      <c r="A5" s="24" t="s">
        <v>131</v>
      </c>
      <c r="B5" s="24"/>
      <c r="C5" s="24"/>
      <c r="D5" s="24"/>
      <c r="E5" s="24"/>
      <c r="F5" s="24"/>
      <c r="G5" s="24"/>
      <c r="H5" s="24"/>
      <c r="I5" s="24"/>
      <c r="J5" s="24"/>
      <c r="K5" s="24"/>
    </row>
    <row r="6" customFormat="false" ht="16.5" hidden="false" customHeight="true" outlineLevel="0" collapsed="false">
      <c r="A6" s="56" t="s">
        <v>132</v>
      </c>
      <c r="B6" s="26" t="n">
        <v>362</v>
      </c>
      <c r="C6" s="26" t="n">
        <v>571</v>
      </c>
      <c r="D6" s="26" t="n">
        <v>676</v>
      </c>
      <c r="E6" s="26" t="n">
        <v>800</v>
      </c>
      <c r="F6" s="26" t="n">
        <v>800</v>
      </c>
      <c r="G6" s="57" t="n">
        <f aca="false">'Cash Flow'!G29</f>
        <v>1107.695322</v>
      </c>
      <c r="H6" s="57" t="n">
        <f aca="false">'Cash Flow'!H29</f>
        <v>1378.512107</v>
      </c>
      <c r="I6" s="57" t="n">
        <f aca="false">'Cash Flow'!I29</f>
        <v>1744.8650969476</v>
      </c>
      <c r="J6" s="57" t="n">
        <f aca="false">'Cash Flow'!J29</f>
        <v>2202.57269374382</v>
      </c>
      <c r="K6" s="57" t="n">
        <f aca="false">'Cash Flow'!K29</f>
        <v>2730.58478664987</v>
      </c>
    </row>
    <row r="7" customFormat="false" ht="16.5" hidden="false" customHeight="true" outlineLevel="0" collapsed="false">
      <c r="A7" s="28" t="s">
        <v>133</v>
      </c>
      <c r="B7" s="26" t="n">
        <v>20</v>
      </c>
      <c r="C7" s="26" t="n">
        <v>30</v>
      </c>
      <c r="D7" s="26" t="n">
        <v>40</v>
      </c>
      <c r="E7" s="26" t="n">
        <v>50</v>
      </c>
      <c r="F7" s="26" t="n">
        <v>50</v>
      </c>
      <c r="G7" s="48" t="n">
        <f aca="false">F7*1.02</f>
        <v>51</v>
      </c>
      <c r="H7" s="48" t="n">
        <f aca="false">G7*1.02</f>
        <v>52.02</v>
      </c>
      <c r="I7" s="48" t="n">
        <f aca="false">H7*1.02</f>
        <v>53.0604</v>
      </c>
      <c r="J7" s="48" t="n">
        <f aca="false">I7*1.02</f>
        <v>54.121608</v>
      </c>
      <c r="K7" s="48" t="n">
        <f aca="false">J7*1.02</f>
        <v>55.20404016</v>
      </c>
    </row>
    <row r="8" customFormat="false" ht="16.5" hidden="false" customHeight="true" outlineLevel="0" collapsed="false">
      <c r="A8" s="28" t="s">
        <v>134</v>
      </c>
      <c r="B8" s="26" t="n">
        <v>86</v>
      </c>
      <c r="C8" s="26" t="n">
        <v>137</v>
      </c>
      <c r="D8" s="26" t="n">
        <v>207</v>
      </c>
      <c r="E8" s="26" t="n">
        <v>86</v>
      </c>
      <c r="F8" s="26" t="n">
        <v>137</v>
      </c>
      <c r="G8" s="48" t="n">
        <f aca="false">'Income Statement'!G6*15/365</f>
        <v>176.575068493151</v>
      </c>
      <c r="H8" s="48" t="n">
        <f aca="false">'Income Statement'!H6*15/365</f>
        <v>202.001878356164</v>
      </c>
      <c r="I8" s="48" t="n">
        <f aca="false">'Income Statement'!I6*15/365</f>
        <v>230.68614508274</v>
      </c>
      <c r="J8" s="48" t="n">
        <f aca="false">'Income Statement'!J6*15/365</f>
        <v>258.368482492669</v>
      </c>
      <c r="K8" s="48" t="n">
        <f aca="false">'Income Statement'!K6*15/365</f>
        <v>284.205330741935</v>
      </c>
    </row>
    <row r="9" customFormat="false" ht="16.5" hidden="false" customHeight="true" outlineLevel="0" collapsed="false">
      <c r="A9" s="28" t="s">
        <v>135</v>
      </c>
      <c r="B9" s="26" t="n">
        <v>15</v>
      </c>
      <c r="C9" s="26" t="n">
        <v>20</v>
      </c>
      <c r="D9" s="26" t="n">
        <v>28</v>
      </c>
      <c r="E9" s="26" t="n">
        <v>40</v>
      </c>
      <c r="F9" s="26" t="n">
        <v>40</v>
      </c>
      <c r="G9" s="48" t="n">
        <f aca="false">F9*1.05</f>
        <v>42</v>
      </c>
      <c r="H9" s="48" t="n">
        <f aca="false">G9*1.05</f>
        <v>44.1</v>
      </c>
      <c r="I9" s="48" t="n">
        <f aca="false">H9*1.05</f>
        <v>46.305</v>
      </c>
      <c r="J9" s="48" t="n">
        <f aca="false">I9*1.05</f>
        <v>48.62025</v>
      </c>
      <c r="K9" s="48" t="n">
        <f aca="false">J9*1.05</f>
        <v>51.0512625</v>
      </c>
    </row>
    <row r="10" customFormat="false" ht="16.5" hidden="false" customHeight="true" outlineLevel="0" collapsed="false">
      <c r="A10" s="25" t="s">
        <v>136</v>
      </c>
      <c r="B10" s="27" t="n">
        <f aca="false">SUM(B6:B9)</f>
        <v>483</v>
      </c>
      <c r="C10" s="27" t="n">
        <f aca="false">SUM(C6:C9)</f>
        <v>758</v>
      </c>
      <c r="D10" s="27" t="n">
        <f aca="false">SUM(D6:D9)</f>
        <v>951</v>
      </c>
      <c r="E10" s="27" t="n">
        <f aca="false">SUM(E6:E9)</f>
        <v>976</v>
      </c>
      <c r="F10" s="27" t="n">
        <f aca="false">SUM(F6:F9)</f>
        <v>1027</v>
      </c>
      <c r="G10" s="27" t="n">
        <f aca="false">SUM(G6:G9)</f>
        <v>1377.27039049315</v>
      </c>
      <c r="H10" s="27" t="n">
        <f aca="false">SUM(H6:H9)</f>
        <v>1676.63398535616</v>
      </c>
      <c r="I10" s="27" t="n">
        <f aca="false">SUM(I6:I9)</f>
        <v>2074.91664203034</v>
      </c>
      <c r="J10" s="27" t="n">
        <f aca="false">SUM(J6:J9)</f>
        <v>2563.68303423649</v>
      </c>
      <c r="K10" s="27" t="n">
        <f aca="false">SUM(K6:K9)</f>
        <v>3121.04542005181</v>
      </c>
    </row>
    <row r="12" customFormat="false" ht="16.5" hidden="false" customHeight="true" outlineLevel="0" collapsed="false">
      <c r="A12" s="28" t="s">
        <v>137</v>
      </c>
      <c r="B12" s="26" t="n">
        <v>535</v>
      </c>
      <c r="C12" s="26" t="n">
        <v>285</v>
      </c>
      <c r="D12" s="26" t="n">
        <v>200</v>
      </c>
      <c r="E12" s="26" t="n">
        <v>850</v>
      </c>
      <c r="F12" s="26" t="n">
        <v>850</v>
      </c>
      <c r="G12" s="48" t="n">
        <f aca="false">MAX(F12-Assumptions!G31,0)</f>
        <v>765</v>
      </c>
      <c r="H12" s="48" t="n">
        <f aca="false">MAX(G12-Assumptions!H31,0)</f>
        <v>665</v>
      </c>
      <c r="I12" s="48" t="n">
        <f aca="false">MAX(H12-Assumptions!I31,0)</f>
        <v>545</v>
      </c>
      <c r="J12" s="48" t="n">
        <f aca="false">MAX(I12-Assumptions!J31,0)</f>
        <v>405</v>
      </c>
      <c r="K12" s="48" t="n">
        <f aca="false">MAX(J12-Assumptions!K31,0)</f>
        <v>245</v>
      </c>
    </row>
    <row r="13" customFormat="false" ht="16.5" hidden="false" customHeight="true" outlineLevel="0" collapsed="false">
      <c r="A13" s="28" t="s">
        <v>138</v>
      </c>
      <c r="B13" s="26" t="n">
        <v>130</v>
      </c>
      <c r="C13" s="26" t="n">
        <v>155</v>
      </c>
      <c r="D13" s="26" t="n">
        <v>185</v>
      </c>
      <c r="E13" s="26" t="n">
        <v>220</v>
      </c>
      <c r="F13" s="26" t="n">
        <v>265</v>
      </c>
      <c r="G13" s="48" t="n">
        <f aca="false">F13+Assumptions!G35-Assumptions!G31/2</f>
        <v>342.5</v>
      </c>
      <c r="H13" s="48" t="n">
        <f aca="false">G13+Assumptions!H35-Assumptions!H31/2</f>
        <v>432.5</v>
      </c>
      <c r="I13" s="48" t="n">
        <f aca="false">H13+Assumptions!I35-Assumptions!I31/2</f>
        <v>532.5</v>
      </c>
      <c r="J13" s="48" t="n">
        <f aca="false">I13+Assumptions!J35-Assumptions!J31/2</f>
        <v>642.5</v>
      </c>
      <c r="K13" s="48" t="n">
        <f aca="false">J13+Assumptions!K35-Assumptions!K31/2</f>
        <v>762.5</v>
      </c>
    </row>
    <row r="14" customFormat="false" ht="16.5" hidden="false" customHeight="true" outlineLevel="0" collapsed="false">
      <c r="A14" s="28" t="s">
        <v>139</v>
      </c>
      <c r="B14" s="26" t="n">
        <v>200</v>
      </c>
      <c r="C14" s="26" t="n">
        <v>230</v>
      </c>
      <c r="D14" s="26" t="n">
        <v>260</v>
      </c>
      <c r="E14" s="26" t="n">
        <v>280</v>
      </c>
      <c r="F14" s="26" t="n">
        <v>300</v>
      </c>
      <c r="G14" s="48" t="n">
        <f aca="false">F14</f>
        <v>300</v>
      </c>
      <c r="H14" s="48" t="n">
        <f aca="false">G14</f>
        <v>300</v>
      </c>
      <c r="I14" s="48" t="n">
        <f aca="false">H14</f>
        <v>300</v>
      </c>
      <c r="J14" s="48" t="n">
        <f aca="false">I14</f>
        <v>300</v>
      </c>
      <c r="K14" s="48" t="n">
        <f aca="false">J14</f>
        <v>300</v>
      </c>
    </row>
    <row r="15" customFormat="false" ht="16.5" hidden="false" customHeight="true" outlineLevel="0" collapsed="false">
      <c r="A15" s="28" t="s">
        <v>140</v>
      </c>
      <c r="B15" s="26" t="n">
        <v>50</v>
      </c>
      <c r="C15" s="26" t="n">
        <v>60</v>
      </c>
      <c r="D15" s="26" t="n">
        <v>65</v>
      </c>
      <c r="E15" s="26" t="n">
        <v>71</v>
      </c>
      <c r="F15" s="26" t="n">
        <v>75</v>
      </c>
      <c r="G15" s="48" t="n">
        <f aca="false">F15*1.03</f>
        <v>77.25</v>
      </c>
      <c r="H15" s="48" t="n">
        <f aca="false">G15*1.03</f>
        <v>79.5675</v>
      </c>
      <c r="I15" s="48" t="n">
        <f aca="false">H15*1.03</f>
        <v>81.954525</v>
      </c>
      <c r="J15" s="48" t="n">
        <f aca="false">I15*1.03</f>
        <v>84.41316075</v>
      </c>
      <c r="K15" s="48" t="n">
        <f aca="false">J15*1.03</f>
        <v>86.9455555725</v>
      </c>
    </row>
    <row r="16" customFormat="false" ht="16.5" hidden="false" customHeight="true" outlineLevel="0" collapsed="false">
      <c r="A16" s="25" t="s">
        <v>141</v>
      </c>
      <c r="B16" s="27" t="n">
        <f aca="false">SUM(B12:B15)</f>
        <v>915</v>
      </c>
      <c r="C16" s="27" t="n">
        <f aca="false">SUM(C12:C15)</f>
        <v>730</v>
      </c>
      <c r="D16" s="27" t="n">
        <f aca="false">SUM(D12:D15)</f>
        <v>710</v>
      </c>
      <c r="E16" s="27" t="n">
        <f aca="false">SUM(E12:E15)</f>
        <v>1421</v>
      </c>
      <c r="F16" s="27" t="n">
        <f aca="false">SUM(F12:F15)</f>
        <v>1490</v>
      </c>
      <c r="G16" s="27" t="n">
        <f aca="false">SUM(G12:G15)</f>
        <v>1484.75</v>
      </c>
      <c r="H16" s="27" t="n">
        <f aca="false">SUM(H12:H15)</f>
        <v>1477.0675</v>
      </c>
      <c r="I16" s="27" t="n">
        <f aca="false">SUM(I12:I15)</f>
        <v>1459.454525</v>
      </c>
      <c r="J16" s="27" t="n">
        <f aca="false">SUM(J12:J15)</f>
        <v>1431.91316075</v>
      </c>
      <c r="K16" s="27" t="n">
        <f aca="false">SUM(K12:K15)</f>
        <v>1394.4455555725</v>
      </c>
    </row>
    <row r="17" customFormat="false" ht="16.5" hidden="false" customHeight="true" outlineLevel="0" collapsed="false">
      <c r="A17" s="58" t="s">
        <v>142</v>
      </c>
      <c r="B17" s="59" t="n">
        <f aca="false">B10+B16</f>
        <v>1398</v>
      </c>
      <c r="C17" s="59" t="n">
        <f aca="false">C10+C16</f>
        <v>1488</v>
      </c>
      <c r="D17" s="59" t="n">
        <f aca="false">D10+D16</f>
        <v>1661</v>
      </c>
      <c r="E17" s="59" t="n">
        <f aca="false">E10+E16</f>
        <v>2397</v>
      </c>
      <c r="F17" s="59" t="n">
        <f aca="false">F10+F16</f>
        <v>2517</v>
      </c>
      <c r="G17" s="59" t="n">
        <f aca="false">G10+G16</f>
        <v>2862.02039049315</v>
      </c>
      <c r="H17" s="59" t="n">
        <f aca="false">H10+H16</f>
        <v>3153.70148535617</v>
      </c>
      <c r="I17" s="59" t="n">
        <f aca="false">I10+I16</f>
        <v>3534.37116703034</v>
      </c>
      <c r="J17" s="59" t="n">
        <f aca="false">J10+J16</f>
        <v>3995.59619498649</v>
      </c>
      <c r="K17" s="59" t="n">
        <f aca="false">K10+K16</f>
        <v>4515.49097562431</v>
      </c>
    </row>
    <row r="18" customFormat="false" ht="18" hidden="false" customHeight="true" outlineLevel="0" collapsed="false">
      <c r="A18" s="24" t="s">
        <v>143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</row>
    <row r="20" customFormat="false" ht="16.5" hidden="false" customHeight="true" outlineLevel="0" collapsed="false">
      <c r="A20" s="28" t="s">
        <v>144</v>
      </c>
      <c r="B20" s="26" t="n">
        <v>90</v>
      </c>
      <c r="C20" s="26" t="n">
        <v>130</v>
      </c>
      <c r="D20" s="26" t="n">
        <v>170</v>
      </c>
      <c r="E20" s="26" t="n">
        <v>703</v>
      </c>
      <c r="F20" s="26" t="n">
        <v>863</v>
      </c>
      <c r="G20" s="48" t="n">
        <f aca="false">ABS('Income Statement'!G11)*30/365</f>
        <v>212.94953260274</v>
      </c>
      <c r="H20" s="48" t="n">
        <f aca="false">ABS('Income Statement'!H11)*30/365</f>
        <v>239.574227730411</v>
      </c>
      <c r="I20" s="48" t="n">
        <f aca="false">ABS('Income Statement'!I11)*30/365</f>
        <v>268.980045166475</v>
      </c>
      <c r="J20" s="48" t="n">
        <f aca="false">ABS('Income Statement'!J11)*30/365</f>
        <v>296.090280936598</v>
      </c>
      <c r="K20" s="48" t="n">
        <f aca="false">ABS('Income Statement'!K11)*30/365</f>
        <v>320.015202415419</v>
      </c>
    </row>
    <row r="21" customFormat="false" ht="16.5" hidden="false" customHeight="true" outlineLevel="0" collapsed="false">
      <c r="A21" s="28" t="s">
        <v>145</v>
      </c>
      <c r="B21" s="26" t="n">
        <v>80</v>
      </c>
      <c r="C21" s="26" t="n">
        <v>110</v>
      </c>
      <c r="D21" s="26" t="n">
        <v>140</v>
      </c>
      <c r="E21" s="26" t="n">
        <v>250</v>
      </c>
      <c r="F21" s="26" t="n">
        <v>250</v>
      </c>
      <c r="G21" s="48" t="n">
        <f aca="false">F21*1.05</f>
        <v>262.5</v>
      </c>
      <c r="H21" s="48" t="n">
        <f aca="false">G21*1.05</f>
        <v>275.625</v>
      </c>
      <c r="I21" s="48" t="n">
        <f aca="false">H21*1.05</f>
        <v>289.40625</v>
      </c>
      <c r="J21" s="48" t="n">
        <f aca="false">I21*1.05</f>
        <v>303.8765625</v>
      </c>
      <c r="K21" s="48" t="n">
        <f aca="false">J21*1.05</f>
        <v>319.070390625</v>
      </c>
    </row>
    <row r="22" customFormat="false" ht="16.5" hidden="false" customHeight="true" outlineLevel="0" collapsed="false">
      <c r="A22" s="28" t="s">
        <v>146</v>
      </c>
      <c r="B22" s="26" t="n">
        <v>50</v>
      </c>
      <c r="C22" s="26" t="n">
        <v>80</v>
      </c>
      <c r="D22" s="26" t="n">
        <v>100</v>
      </c>
      <c r="E22" s="26" t="n">
        <v>150</v>
      </c>
      <c r="F22" s="26" t="n">
        <v>160</v>
      </c>
      <c r="G22" s="48" t="n">
        <f aca="false">F22*1.05</f>
        <v>168</v>
      </c>
      <c r="H22" s="48" t="n">
        <f aca="false">G22*1.05</f>
        <v>176.4</v>
      </c>
      <c r="I22" s="48" t="n">
        <f aca="false">H22*1.05</f>
        <v>185.22</v>
      </c>
      <c r="J22" s="48" t="n">
        <f aca="false">I22*1.05</f>
        <v>194.481</v>
      </c>
      <c r="K22" s="48" t="n">
        <f aca="false">J22*1.05</f>
        <v>204.20505</v>
      </c>
    </row>
    <row r="23" customFormat="false" ht="16.5" hidden="false" customHeight="true" outlineLevel="0" collapsed="false">
      <c r="A23" s="28" t="s">
        <v>147</v>
      </c>
      <c r="B23" s="26" t="n">
        <v>150</v>
      </c>
      <c r="C23" s="26" t="n">
        <v>220</v>
      </c>
      <c r="D23" s="26" t="n">
        <v>280</v>
      </c>
      <c r="E23" s="26" t="n">
        <v>450</v>
      </c>
      <c r="F23" s="26" t="n">
        <v>600</v>
      </c>
      <c r="G23" s="48" t="n">
        <f aca="false">F23*1.05</f>
        <v>630</v>
      </c>
      <c r="H23" s="48" t="n">
        <f aca="false">G23*1.05</f>
        <v>661.5</v>
      </c>
      <c r="I23" s="48" t="n">
        <f aca="false">H23*1.05</f>
        <v>694.575</v>
      </c>
      <c r="J23" s="48" t="n">
        <f aca="false">I23*1.05</f>
        <v>729.30375</v>
      </c>
      <c r="K23" s="48" t="n">
        <f aca="false">J23*1.05</f>
        <v>765.7689375</v>
      </c>
    </row>
    <row r="24" customFormat="false" ht="16.5" hidden="false" customHeight="true" outlineLevel="0" collapsed="false">
      <c r="A24" s="25" t="s">
        <v>148</v>
      </c>
      <c r="B24" s="27" t="n">
        <f aca="false">SUM(B20:B23)</f>
        <v>370</v>
      </c>
      <c r="C24" s="27" t="n">
        <f aca="false">SUM(C20:C23)</f>
        <v>540</v>
      </c>
      <c r="D24" s="27" t="n">
        <f aca="false">SUM(D20:D23)</f>
        <v>690</v>
      </c>
      <c r="E24" s="27" t="n">
        <f aca="false">SUM(E20:E23)</f>
        <v>1553</v>
      </c>
      <c r="F24" s="27" t="n">
        <f aca="false">SUM(F20:F23)</f>
        <v>1873</v>
      </c>
      <c r="G24" s="27" t="n">
        <f aca="false">SUM(G20:G23)</f>
        <v>1273.44953260274</v>
      </c>
      <c r="H24" s="27" t="n">
        <f aca="false">SUM(H20:H23)</f>
        <v>1353.09922773041</v>
      </c>
      <c r="I24" s="27" t="n">
        <f aca="false">SUM(I20:I23)</f>
        <v>1438.18129516647</v>
      </c>
      <c r="J24" s="27" t="n">
        <f aca="false">SUM(J20:J23)</f>
        <v>1523.7515934366</v>
      </c>
      <c r="K24" s="27" t="n">
        <f aca="false">SUM(K20:K23)</f>
        <v>1609.05958054042</v>
      </c>
    </row>
    <row r="26" customFormat="false" ht="16.5" hidden="false" customHeight="true" outlineLevel="0" collapsed="false">
      <c r="A26" s="28" t="s">
        <v>149</v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48" t="n">
        <f aca="false">0</f>
        <v>0</v>
      </c>
      <c r="H26" s="48" t="n">
        <f aca="false">0</f>
        <v>0</v>
      </c>
      <c r="I26" s="48" t="n">
        <f aca="false">0</f>
        <v>0</v>
      </c>
      <c r="J26" s="48" t="n">
        <f aca="false">0</f>
        <v>0</v>
      </c>
      <c r="K26" s="48" t="n">
        <f aca="false">0</f>
        <v>0</v>
      </c>
    </row>
    <row r="27" customFormat="false" ht="16.5" hidden="false" customHeight="true" outlineLevel="0" collapsed="false">
      <c r="A27" s="28" t="s">
        <v>150</v>
      </c>
      <c r="B27" s="26" t="n">
        <v>100</v>
      </c>
      <c r="C27" s="26" t="n">
        <v>150</v>
      </c>
      <c r="D27" s="26" t="n">
        <v>180</v>
      </c>
      <c r="E27" s="26" t="n">
        <v>200</v>
      </c>
      <c r="F27" s="26" t="n">
        <v>200</v>
      </c>
      <c r="G27" s="48" t="n">
        <f aca="false">F27*0.98</f>
        <v>196</v>
      </c>
      <c r="H27" s="48" t="n">
        <f aca="false">G27*0.98</f>
        <v>192.08</v>
      </c>
      <c r="I27" s="48" t="n">
        <f aca="false">H27*0.98</f>
        <v>188.2384</v>
      </c>
      <c r="J27" s="48" t="n">
        <f aca="false">I27*0.98</f>
        <v>184.473632</v>
      </c>
      <c r="K27" s="48" t="n">
        <f aca="false">J27*0.98</f>
        <v>180.78415936</v>
      </c>
    </row>
    <row r="28" customFormat="false" ht="16.5" hidden="false" customHeight="true" outlineLevel="0" collapsed="false">
      <c r="A28" s="28" t="s">
        <v>151</v>
      </c>
      <c r="B28" s="26" t="n">
        <v>20</v>
      </c>
      <c r="C28" s="26" t="n">
        <v>30</v>
      </c>
      <c r="D28" s="26" t="n">
        <v>40</v>
      </c>
      <c r="E28" s="26" t="n">
        <v>50</v>
      </c>
      <c r="F28" s="26" t="n">
        <v>50</v>
      </c>
      <c r="G28" s="48" t="n">
        <f aca="false">F28*1.05</f>
        <v>52.5</v>
      </c>
      <c r="H28" s="48" t="n">
        <f aca="false">G28*1.05</f>
        <v>55.125</v>
      </c>
      <c r="I28" s="48" t="n">
        <f aca="false">H28*1.05</f>
        <v>57.88125</v>
      </c>
      <c r="J28" s="48" t="n">
        <f aca="false">I28*1.05</f>
        <v>60.7753125</v>
      </c>
      <c r="K28" s="48" t="n">
        <f aca="false">J28*1.05</f>
        <v>63.814078125</v>
      </c>
    </row>
    <row r="29" customFormat="false" ht="16.5" hidden="false" customHeight="true" outlineLevel="0" collapsed="false">
      <c r="A29" s="25" t="s">
        <v>152</v>
      </c>
      <c r="B29" s="27" t="n">
        <f aca="false">SUM(B26:B28)</f>
        <v>120</v>
      </c>
      <c r="C29" s="27" t="n">
        <f aca="false">SUM(C26:C28)</f>
        <v>180</v>
      </c>
      <c r="D29" s="27" t="n">
        <f aca="false">SUM(D26:D28)</f>
        <v>220</v>
      </c>
      <c r="E29" s="27" t="n">
        <f aca="false">SUM(E26:E28)</f>
        <v>250</v>
      </c>
      <c r="F29" s="27" t="n">
        <f aca="false">SUM(F26:F28)</f>
        <v>250</v>
      </c>
      <c r="G29" s="27" t="n">
        <f aca="false">SUM(G26:G28)</f>
        <v>248.5</v>
      </c>
      <c r="H29" s="27" t="n">
        <f aca="false">SUM(H26:H28)</f>
        <v>247.205</v>
      </c>
      <c r="I29" s="27" t="n">
        <f aca="false">SUM(I26:I28)</f>
        <v>246.11965</v>
      </c>
      <c r="J29" s="27" t="n">
        <f aca="false">SUM(J26:J28)</f>
        <v>245.2489445</v>
      </c>
      <c r="K29" s="27" t="n">
        <f aca="false">SUM(K26:K28)</f>
        <v>244.598237485</v>
      </c>
    </row>
    <row r="31" customFormat="false" ht="16.5" hidden="false" customHeight="true" outlineLevel="0" collapsed="false">
      <c r="A31" s="28" t="s">
        <v>153</v>
      </c>
      <c r="B31" s="26" t="n">
        <v>600</v>
      </c>
      <c r="C31" s="26" t="n">
        <v>600</v>
      </c>
      <c r="D31" s="26" t="n">
        <v>600</v>
      </c>
      <c r="E31" s="26" t="n">
        <v>65</v>
      </c>
      <c r="F31" s="26" t="n">
        <v>65</v>
      </c>
      <c r="G31" s="48" t="n">
        <f aca="false">F31</f>
        <v>65</v>
      </c>
      <c r="H31" s="48" t="n">
        <f aca="false">G31</f>
        <v>65</v>
      </c>
      <c r="I31" s="48" t="n">
        <f aca="false">H31</f>
        <v>65</v>
      </c>
      <c r="J31" s="48" t="n">
        <f aca="false">I31</f>
        <v>65</v>
      </c>
      <c r="K31" s="48" t="n">
        <f aca="false">J31</f>
        <v>65</v>
      </c>
    </row>
    <row r="32" customFormat="false" ht="16.5" hidden="false" customHeight="true" outlineLevel="0" collapsed="false">
      <c r="A32" s="56" t="s">
        <v>154</v>
      </c>
      <c r="B32" s="26" t="n">
        <v>12</v>
      </c>
      <c r="C32" s="26" t="n">
        <v>32</v>
      </c>
      <c r="D32" s="26" t="n">
        <v>67</v>
      </c>
      <c r="E32" s="26" t="n">
        <v>119</v>
      </c>
      <c r="F32" s="26" t="n">
        <v>218</v>
      </c>
      <c r="G32" s="60" t="n">
        <f aca="false">F32+'Income Statement'!G28</f>
        <v>572.47445</v>
      </c>
      <c r="H32" s="60" t="n">
        <f aca="false">G32+'Income Statement'!H28</f>
        <v>1033.291235</v>
      </c>
      <c r="I32" s="60" t="n">
        <f aca="false">H32+'Income Statement'!I28</f>
        <v>1601.6442249476</v>
      </c>
      <c r="J32" s="60" t="n">
        <f aca="false">I32+'Income Statement'!J28</f>
        <v>2285.35182174382</v>
      </c>
      <c r="K32" s="60" t="n">
        <f aca="false">J32+'Income Statement'!K28</f>
        <v>3063.36391464987</v>
      </c>
    </row>
    <row r="33" customFormat="false" ht="16.5" hidden="false" customHeight="true" outlineLevel="0" collapsed="false">
      <c r="A33" s="28" t="s">
        <v>155</v>
      </c>
      <c r="B33" s="26" t="n">
        <v>-30</v>
      </c>
      <c r="C33" s="26" t="n">
        <v>-85</v>
      </c>
      <c r="D33" s="26" t="n">
        <v>-153</v>
      </c>
      <c r="E33" s="26" t="n">
        <v>-165</v>
      </c>
      <c r="F33" s="26" t="n">
        <v>-165</v>
      </c>
      <c r="G33" s="48" t="n">
        <f aca="false">F33+Assumptions!G38</f>
        <v>-125</v>
      </c>
      <c r="H33" s="48" t="n">
        <f aca="false">G33+Assumptions!H38</f>
        <v>-95</v>
      </c>
      <c r="I33" s="48" t="n">
        <f aca="false">H33+Assumptions!I38</f>
        <v>-75</v>
      </c>
      <c r="J33" s="48" t="n">
        <f aca="false">I33+Assumptions!J38</f>
        <v>-65</v>
      </c>
      <c r="K33" s="48" t="n">
        <f aca="false">J33+Assumptions!K38</f>
        <v>-65</v>
      </c>
    </row>
    <row r="34" customFormat="false" ht="16.5" hidden="false" customHeight="true" outlineLevel="0" collapsed="false">
      <c r="A34" s="28" t="s">
        <v>156</v>
      </c>
      <c r="B34" s="26" t="n">
        <f aca="false">B17-B24-B29-B31-B32-B33</f>
        <v>326</v>
      </c>
      <c r="C34" s="26" t="n">
        <f aca="false">C17-C24-C29-C31-C32-C33</f>
        <v>221</v>
      </c>
      <c r="D34" s="26" t="n">
        <f aca="false">D17-D24-D29-D31-D32-D33</f>
        <v>237</v>
      </c>
      <c r="E34" s="26" t="n">
        <f aca="false">E17-E24-E29-E31-E32-E33</f>
        <v>575</v>
      </c>
      <c r="F34" s="26" t="n">
        <f aca="false">F17-F24-F29-F31-F32-F33</f>
        <v>276</v>
      </c>
      <c r="G34" s="48" t="n">
        <f aca="false">G17-G24-G29-G31-G32-G33</f>
        <v>827.596407890411</v>
      </c>
      <c r="H34" s="48" t="n">
        <f aca="false">H17-H24-H29-H31-H32-H33</f>
        <v>550.106022625754</v>
      </c>
      <c r="I34" s="48" t="n">
        <f aca="false">I17-I24-I29-I31-I32-I33</f>
        <v>258.425996916265</v>
      </c>
      <c r="J34" s="48" t="n">
        <f aca="false">J17-J24-J29-J31-J32-J33</f>
        <v>-58.7561646939303</v>
      </c>
      <c r="K34" s="48" t="n">
        <f aca="false">K17-K24-K29-K31-K32-K33</f>
        <v>-401.530757050984</v>
      </c>
    </row>
    <row r="35" customFormat="false" ht="16.5" hidden="false" customHeight="true" outlineLevel="0" collapsed="false">
      <c r="A35" s="25" t="s">
        <v>157</v>
      </c>
      <c r="B35" s="27" t="n">
        <f aca="false">SUM(B31:B34)</f>
        <v>908</v>
      </c>
      <c r="C35" s="27" t="n">
        <f aca="false">SUM(C31:C34)</f>
        <v>768</v>
      </c>
      <c r="D35" s="27" t="n">
        <f aca="false">SUM(D31:D34)</f>
        <v>751</v>
      </c>
      <c r="E35" s="27" t="n">
        <f aca="false">SUM(E31:E34)</f>
        <v>594</v>
      </c>
      <c r="F35" s="27" t="n">
        <f aca="false">SUM(F31:F34)</f>
        <v>394</v>
      </c>
      <c r="G35" s="27" t="n">
        <f aca="false">SUM(G31:G34)</f>
        <v>1340.07085789041</v>
      </c>
      <c r="H35" s="27" t="n">
        <f aca="false">SUM(H31:H34)</f>
        <v>1553.39725762575</v>
      </c>
      <c r="I35" s="27" t="n">
        <f aca="false">SUM(I31:I34)</f>
        <v>1850.07022186386</v>
      </c>
      <c r="J35" s="27" t="n">
        <f aca="false">SUM(J31:J34)</f>
        <v>2226.59565704989</v>
      </c>
      <c r="K35" s="27" t="n">
        <f aca="false">SUM(K31:K34)</f>
        <v>2661.83315759889</v>
      </c>
    </row>
    <row r="36" customFormat="false" ht="16.5" hidden="false" customHeight="true" outlineLevel="0" collapsed="false">
      <c r="A36" s="58" t="s">
        <v>158</v>
      </c>
      <c r="B36" s="59" t="n">
        <f aca="false">B17-B24-B29-B35</f>
        <v>0</v>
      </c>
      <c r="C36" s="59" t="n">
        <f aca="false">C17-C24-C29-C35</f>
        <v>0</v>
      </c>
      <c r="D36" s="59" t="n">
        <f aca="false">D17-D24-D29-D35</f>
        <v>0</v>
      </c>
      <c r="E36" s="59" t="n">
        <f aca="false">E17-E24-E29-E35</f>
        <v>0</v>
      </c>
      <c r="F36" s="59" t="n">
        <f aca="false">F17-F24-F29-F35</f>
        <v>0</v>
      </c>
      <c r="G36" s="59" t="n">
        <f aca="false">G17-G24-G29-G35</f>
        <v>0</v>
      </c>
      <c r="H36" s="59" t="n">
        <f aca="false">H17-H24-H29-H35</f>
        <v>0</v>
      </c>
      <c r="I36" s="59" t="n">
        <f aca="false">I17-I24-I29-I35</f>
        <v>0</v>
      </c>
      <c r="J36" s="59" t="n">
        <f aca="false">J17-J24-J29-J35</f>
        <v>0</v>
      </c>
      <c r="K36" s="59" t="n">
        <f aca="false">K17-K24-K29-K35</f>
        <v>0</v>
      </c>
    </row>
  </sheetData>
  <mergeCells count="3">
    <mergeCell ref="A1:K1"/>
    <mergeCell ref="A5:K5"/>
    <mergeCell ref="A18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11" min="2" style="1" width="13"/>
  </cols>
  <sheetData>
    <row r="1" customFormat="false" ht="30" hidden="false" customHeight="true" outlineLevel="0" collapsed="false">
      <c r="A1" s="19" t="s">
        <v>159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4" customFormat="false" ht="19.5" hidden="false" customHeight="true" outlineLevel="0" collapsed="false">
      <c r="A4" s="20" t="s">
        <v>39</v>
      </c>
      <c r="B4" s="21" t="s">
        <v>40</v>
      </c>
      <c r="C4" s="21" t="s">
        <v>41</v>
      </c>
      <c r="D4" s="21" t="s">
        <v>42</v>
      </c>
      <c r="E4" s="21" t="s">
        <v>43</v>
      </c>
      <c r="F4" s="22" t="s">
        <v>44</v>
      </c>
      <c r="G4" s="23" t="s">
        <v>45</v>
      </c>
      <c r="H4" s="23" t="s">
        <v>46</v>
      </c>
      <c r="I4" s="23" t="s">
        <v>47</v>
      </c>
      <c r="J4" s="23" t="s">
        <v>48</v>
      </c>
      <c r="K4" s="23" t="s">
        <v>49</v>
      </c>
    </row>
    <row r="5" customFormat="false" ht="18" hidden="false" customHeight="true" outlineLevel="0" collapsed="false">
      <c r="A5" s="24" t="s">
        <v>160</v>
      </c>
      <c r="B5" s="24"/>
      <c r="C5" s="24"/>
      <c r="D5" s="24"/>
      <c r="E5" s="24"/>
      <c r="F5" s="24"/>
      <c r="G5" s="24"/>
      <c r="H5" s="24"/>
      <c r="I5" s="24"/>
      <c r="J5" s="24"/>
      <c r="K5" s="24"/>
    </row>
    <row r="6" customFormat="false" ht="16.5" hidden="false" customHeight="true" outlineLevel="0" collapsed="false">
      <c r="A6" s="28" t="s">
        <v>161</v>
      </c>
      <c r="B6" s="51" t="n">
        <f aca="false">'Income Statement'!B28</f>
        <v>10.1384</v>
      </c>
      <c r="C6" s="51" t="n">
        <f aca="false">'Income Statement'!C28</f>
        <v>18.362652</v>
      </c>
      <c r="D6" s="51" t="n">
        <f aca="false">'Income Statement'!D28</f>
        <v>32.314896</v>
      </c>
      <c r="E6" s="51" t="n">
        <f aca="false">'Income Statement'!E28</f>
        <v>49.40656</v>
      </c>
      <c r="F6" s="51" t="n">
        <f aca="false">'Income Statement'!F28</f>
        <v>81.998364</v>
      </c>
      <c r="G6" s="51" t="n">
        <f aca="false">'Income Statement'!G28</f>
        <v>354.47445</v>
      </c>
      <c r="H6" s="51" t="n">
        <f aca="false">'Income Statement'!H28</f>
        <v>460.816785</v>
      </c>
      <c r="I6" s="51" t="n">
        <f aca="false">'Income Statement'!I28</f>
        <v>568.3529899476</v>
      </c>
      <c r="J6" s="51" t="n">
        <f aca="false">'Income Statement'!J28</f>
        <v>683.707596796224</v>
      </c>
      <c r="K6" s="51" t="n">
        <f aca="false">'Income Statement'!K28</f>
        <v>778.012092906048</v>
      </c>
    </row>
    <row r="7" customFormat="false" ht="16.5" hidden="false" customHeight="true" outlineLevel="0" collapsed="false">
      <c r="A7" s="28" t="s">
        <v>162</v>
      </c>
      <c r="B7" s="51" t="n">
        <f aca="false">Assumptions!B31</f>
        <v>25</v>
      </c>
      <c r="C7" s="51" t="n">
        <f aca="false">Assumptions!C31</f>
        <v>35</v>
      </c>
      <c r="D7" s="51" t="n">
        <f aca="false">Assumptions!D31</f>
        <v>45</v>
      </c>
      <c r="E7" s="51" t="n">
        <f aca="false">Assumptions!E31</f>
        <v>55</v>
      </c>
      <c r="F7" s="51" t="n">
        <f aca="false">Assumptions!F31</f>
        <v>70</v>
      </c>
      <c r="G7" s="51" t="n">
        <f aca="false">Assumptions!G31</f>
        <v>85</v>
      </c>
      <c r="H7" s="51" t="n">
        <f aca="false">Assumptions!H31</f>
        <v>100</v>
      </c>
      <c r="I7" s="51" t="n">
        <f aca="false">Assumptions!I31</f>
        <v>120</v>
      </c>
      <c r="J7" s="51" t="n">
        <f aca="false">Assumptions!J31</f>
        <v>140</v>
      </c>
      <c r="K7" s="51" t="n">
        <f aca="false">Assumptions!K31</f>
        <v>160</v>
      </c>
    </row>
    <row r="8" customFormat="false" ht="16.5" hidden="false" customHeight="true" outlineLevel="0" collapsed="false">
      <c r="A8" s="28" t="s">
        <v>163</v>
      </c>
      <c r="B8" s="51" t="n">
        <f aca="false">Assumptions!B32</f>
        <v>500</v>
      </c>
      <c r="C8" s="51" t="n">
        <f aca="false">Assumptions!C32</f>
        <v>800</v>
      </c>
      <c r="D8" s="51" t="n">
        <f aca="false">Assumptions!D32</f>
        <v>1000</v>
      </c>
      <c r="E8" s="51" t="n">
        <f aca="false">Assumptions!E32</f>
        <v>1200</v>
      </c>
      <c r="F8" s="51" t="n">
        <f aca="false">Assumptions!F32</f>
        <v>1400</v>
      </c>
      <c r="G8" s="51" t="n">
        <f aca="false">Assumptions!G32</f>
        <v>1600</v>
      </c>
      <c r="H8" s="51" t="n">
        <f aca="false">Assumptions!H32</f>
        <v>1800</v>
      </c>
      <c r="I8" s="51" t="n">
        <f aca="false">Assumptions!I32</f>
        <v>2000</v>
      </c>
      <c r="J8" s="51" t="n">
        <f aca="false">Assumptions!J32</f>
        <v>2200</v>
      </c>
      <c r="K8" s="51" t="n">
        <f aca="false">Assumptions!K32</f>
        <v>2400</v>
      </c>
    </row>
    <row r="9" customFormat="false" ht="16.5" hidden="false" customHeight="true" outlineLevel="0" collapsed="false">
      <c r="A9" s="28" t="s">
        <v>164</v>
      </c>
      <c r="B9" s="51" t="n">
        <f aca="false">Assumptions!B33</f>
        <v>10</v>
      </c>
      <c r="C9" s="51" t="n">
        <f aca="false">Assumptions!C33</f>
        <v>15</v>
      </c>
      <c r="D9" s="51" t="n">
        <f aca="false">Assumptions!D33</f>
        <v>20</v>
      </c>
      <c r="E9" s="51" t="n">
        <f aca="false">Assumptions!E33</f>
        <v>25</v>
      </c>
      <c r="F9" s="51" t="n">
        <f aca="false">Assumptions!F33</f>
        <v>30</v>
      </c>
      <c r="G9" s="51" t="n">
        <f aca="false">Assumptions!G33</f>
        <v>35</v>
      </c>
      <c r="H9" s="51" t="n">
        <f aca="false">Assumptions!H33</f>
        <v>40</v>
      </c>
      <c r="I9" s="51" t="n">
        <f aca="false">Assumptions!I33</f>
        <v>45</v>
      </c>
      <c r="J9" s="51" t="n">
        <f aca="false">Assumptions!J33</f>
        <v>50</v>
      </c>
      <c r="K9" s="51" t="n">
        <f aca="false">Assumptions!K33</f>
        <v>55</v>
      </c>
    </row>
    <row r="10" customFormat="false" ht="16.5" hidden="false" customHeight="true" outlineLevel="0" collapsed="false">
      <c r="A10" s="28" t="s">
        <v>165</v>
      </c>
      <c r="B10" s="51" t="n">
        <f aca="false">Assumptions!B36</f>
        <v>-15</v>
      </c>
      <c r="C10" s="51" t="n">
        <f aca="false">Assumptions!C36</f>
        <v>-28</v>
      </c>
      <c r="D10" s="51" t="n">
        <f aca="false">Assumptions!D36</f>
        <v>-35</v>
      </c>
      <c r="E10" s="51" t="n">
        <f aca="false">Assumptions!E36</f>
        <v>-45</v>
      </c>
      <c r="F10" s="51" t="n">
        <f aca="false">Assumptions!F36</f>
        <v>-60</v>
      </c>
      <c r="G10" s="51" t="n">
        <f aca="false">Assumptions!G36</f>
        <v>-65</v>
      </c>
      <c r="H10" s="51" t="n">
        <f aca="false">Assumptions!H36</f>
        <v>-67</v>
      </c>
      <c r="I10" s="51" t="n">
        <f aca="false">Assumptions!I36</f>
        <v>-65</v>
      </c>
      <c r="J10" s="51" t="n">
        <f aca="false">Assumptions!J36</f>
        <v>-70</v>
      </c>
      <c r="K10" s="51" t="n">
        <f aca="false">Assumptions!K36</f>
        <v>-75</v>
      </c>
    </row>
    <row r="11" customFormat="false" ht="16.5" hidden="false" customHeight="true" outlineLevel="0" collapsed="false">
      <c r="A11" s="25" t="s">
        <v>166</v>
      </c>
      <c r="B11" s="27" t="n">
        <f aca="false">SUM(B6:B10)</f>
        <v>530.1384</v>
      </c>
      <c r="C11" s="27" t="n">
        <f aca="false">SUM(C6:C10)</f>
        <v>840.362652</v>
      </c>
      <c r="D11" s="27" t="n">
        <f aca="false">SUM(D6:D10)</f>
        <v>1062.314896</v>
      </c>
      <c r="E11" s="27" t="n">
        <f aca="false">SUM(E6:E10)</f>
        <v>1284.40656</v>
      </c>
      <c r="F11" s="27" t="n">
        <f aca="false">SUM(F6:F10)</f>
        <v>1521.998364</v>
      </c>
      <c r="G11" s="27" t="n">
        <f aca="false">SUM(G6:G10)</f>
        <v>2009.47445</v>
      </c>
      <c r="H11" s="27" t="n">
        <f aca="false">SUM(H6:H10)</f>
        <v>2333.816785</v>
      </c>
      <c r="I11" s="27" t="n">
        <f aca="false">SUM(I6:I10)</f>
        <v>2668.3529899476</v>
      </c>
      <c r="J11" s="27" t="n">
        <f aca="false">SUM(J6:J10)</f>
        <v>3003.70759679622</v>
      </c>
      <c r="K11" s="27" t="n">
        <f aca="false">SUM(K6:K10)</f>
        <v>3318.01209290605</v>
      </c>
    </row>
    <row r="12" customFormat="false" ht="18" hidden="false" customHeight="true" outlineLevel="0" collapsed="false">
      <c r="A12" s="24" t="s">
        <v>167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</row>
    <row r="13" customFormat="false" ht="16.5" hidden="false" customHeight="true" outlineLevel="0" collapsed="false">
      <c r="A13" s="28" t="s">
        <v>168</v>
      </c>
      <c r="B13" s="51" t="n">
        <f aca="false">-Assumptions!B34</f>
        <v>-500</v>
      </c>
      <c r="C13" s="51" t="n">
        <f aca="false">-Assumptions!C34</f>
        <v>-800</v>
      </c>
      <c r="D13" s="51" t="n">
        <f aca="false">-Assumptions!D34</f>
        <v>-1000</v>
      </c>
      <c r="E13" s="51" t="n">
        <f aca="false">-Assumptions!E34</f>
        <v>-1200</v>
      </c>
      <c r="F13" s="51" t="n">
        <f aca="false">-Assumptions!F34</f>
        <v>-1400</v>
      </c>
      <c r="G13" s="51" t="n">
        <f aca="false">-Assumptions!G34</f>
        <v>-1600</v>
      </c>
      <c r="H13" s="51" t="n">
        <f aca="false">-Assumptions!H34</f>
        <v>-1800</v>
      </c>
      <c r="I13" s="51" t="n">
        <f aca="false">-Assumptions!I34</f>
        <v>-2000</v>
      </c>
      <c r="J13" s="51" t="n">
        <f aca="false">-Assumptions!J34</f>
        <v>-2200</v>
      </c>
      <c r="K13" s="51" t="n">
        <f aca="false">-Assumptions!K34</f>
        <v>-2400</v>
      </c>
    </row>
    <row r="14" customFormat="false" ht="16.5" hidden="false" customHeight="true" outlineLevel="0" collapsed="false">
      <c r="A14" s="28" t="s">
        <v>169</v>
      </c>
      <c r="B14" s="51" t="n">
        <f aca="false">-Assumptions!B35</f>
        <v>-50</v>
      </c>
      <c r="C14" s="51" t="n">
        <f aca="false">-Assumptions!C35</f>
        <v>-60</v>
      </c>
      <c r="D14" s="51" t="n">
        <f aca="false">-Assumptions!D35</f>
        <v>-70</v>
      </c>
      <c r="E14" s="51" t="n">
        <f aca="false">-Assumptions!E35</f>
        <v>-80</v>
      </c>
      <c r="F14" s="51" t="n">
        <f aca="false">-Assumptions!F35</f>
        <v>-100</v>
      </c>
      <c r="G14" s="51" t="n">
        <f aca="false">-Assumptions!G35</f>
        <v>-120</v>
      </c>
      <c r="H14" s="51" t="n">
        <f aca="false">-Assumptions!H35</f>
        <v>-140</v>
      </c>
      <c r="I14" s="51" t="n">
        <f aca="false">-Assumptions!I35</f>
        <v>-160</v>
      </c>
      <c r="J14" s="51" t="n">
        <f aca="false">-Assumptions!J35</f>
        <v>-180</v>
      </c>
      <c r="K14" s="51" t="n">
        <f aca="false">-Assumptions!K35</f>
        <v>-200</v>
      </c>
    </row>
    <row r="15" customFormat="false" ht="16.5" hidden="false" customHeight="true" outlineLevel="0" collapsed="false">
      <c r="A15" s="28" t="s">
        <v>170</v>
      </c>
      <c r="B15" s="48" t="n">
        <f aca="false">-Assumptions!B35/5</f>
        <v>-10</v>
      </c>
      <c r="C15" s="48" t="n">
        <f aca="false">-Assumptions!C35/5</f>
        <v>-12</v>
      </c>
      <c r="D15" s="48" t="n">
        <f aca="false">-Assumptions!D35/5</f>
        <v>-14</v>
      </c>
      <c r="E15" s="48" t="n">
        <f aca="false">-Assumptions!E35/5</f>
        <v>-16</v>
      </c>
      <c r="F15" s="48" t="n">
        <f aca="false">-Assumptions!F35/5</f>
        <v>-20</v>
      </c>
      <c r="G15" s="48" t="n">
        <f aca="false">-Assumptions!G35/5</f>
        <v>-24</v>
      </c>
      <c r="H15" s="48" t="n">
        <f aca="false">-Assumptions!H35/5</f>
        <v>-28</v>
      </c>
      <c r="I15" s="48" t="n">
        <f aca="false">-Assumptions!I35/5</f>
        <v>-32</v>
      </c>
      <c r="J15" s="48" t="n">
        <f aca="false">-Assumptions!J35/5</f>
        <v>-36</v>
      </c>
      <c r="K15" s="48" t="n">
        <f aca="false">-Assumptions!K35/5</f>
        <v>-40</v>
      </c>
    </row>
    <row r="16" customFormat="false" ht="16.5" hidden="false" customHeight="true" outlineLevel="0" collapsed="false">
      <c r="A16" s="25" t="s">
        <v>171</v>
      </c>
      <c r="B16" s="27" t="n">
        <f aca="false">SUM(B13:B15)</f>
        <v>-560</v>
      </c>
      <c r="C16" s="27" t="n">
        <f aca="false">SUM(C13:C15)</f>
        <v>-872</v>
      </c>
      <c r="D16" s="27" t="n">
        <f aca="false">SUM(D13:D15)</f>
        <v>-1084</v>
      </c>
      <c r="E16" s="27" t="n">
        <f aca="false">SUM(E13:E15)</f>
        <v>-1296</v>
      </c>
      <c r="F16" s="27" t="n">
        <f aca="false">SUM(F13:F15)</f>
        <v>-1520</v>
      </c>
      <c r="G16" s="27" t="n">
        <f aca="false">SUM(G13:G15)</f>
        <v>-1744</v>
      </c>
      <c r="H16" s="27" t="n">
        <f aca="false">SUM(H13:H15)</f>
        <v>-1968</v>
      </c>
      <c r="I16" s="27" t="n">
        <f aca="false">SUM(I13:I15)</f>
        <v>-2192</v>
      </c>
      <c r="J16" s="27" t="n">
        <f aca="false">SUM(J13:J15)</f>
        <v>-2416</v>
      </c>
      <c r="K16" s="27" t="n">
        <f aca="false">SUM(K13:K15)</f>
        <v>-2640</v>
      </c>
    </row>
    <row r="17" customFormat="false" ht="18" hidden="false" customHeight="true" outlineLevel="0" collapsed="false">
      <c r="A17" s="61" t="s">
        <v>172</v>
      </c>
      <c r="B17" s="61"/>
      <c r="C17" s="61"/>
      <c r="D17" s="61"/>
      <c r="E17" s="61"/>
      <c r="F17" s="61"/>
      <c r="G17" s="61"/>
      <c r="H17" s="61"/>
      <c r="I17" s="61"/>
      <c r="J17" s="61"/>
      <c r="K17" s="61"/>
    </row>
    <row r="18" customFormat="false" ht="16.5" hidden="false" customHeight="true" outlineLevel="0" collapsed="false">
      <c r="A18" s="43" t="s">
        <v>173</v>
      </c>
      <c r="B18" s="49" t="n">
        <f aca="false">B11+B13+B14</f>
        <v>-19.8616</v>
      </c>
      <c r="C18" s="49" t="n">
        <f aca="false">C11+C13+C14</f>
        <v>-19.637348</v>
      </c>
      <c r="D18" s="49" t="n">
        <f aca="false">D11+D13+D14</f>
        <v>-7.68510399999991</v>
      </c>
      <c r="E18" s="49" t="n">
        <f aca="false">E11+E13+E14</f>
        <v>4.4065599999999</v>
      </c>
      <c r="F18" s="49" t="n">
        <f aca="false">F11+F13+F14</f>
        <v>21.998364</v>
      </c>
      <c r="G18" s="49" t="n">
        <f aca="false">G11+G13+G14</f>
        <v>289.47445</v>
      </c>
      <c r="H18" s="49" t="n">
        <f aca="false">H11+H13+H14</f>
        <v>393.816785</v>
      </c>
      <c r="I18" s="49" t="n">
        <f aca="false">I11+I13+I14</f>
        <v>508.3529899476</v>
      </c>
      <c r="J18" s="49" t="n">
        <f aca="false">J11+J13+J14</f>
        <v>623.707596796224</v>
      </c>
      <c r="K18" s="49" t="n">
        <f aca="false">K11+K13+K14</f>
        <v>718.012092906048</v>
      </c>
    </row>
    <row r="19" customFormat="false" ht="16.5" hidden="false" customHeight="true" outlineLevel="0" collapsed="false">
      <c r="A19" s="28" t="s">
        <v>174</v>
      </c>
      <c r="B19" s="47" t="n">
        <f aca="false">B18/'Income Statement'!B6</f>
        <v>-0.020906947368421</v>
      </c>
      <c r="C19" s="47" t="n">
        <f aca="false">C18/'Income Statement'!C6</f>
        <v>-0.0106899009254219</v>
      </c>
      <c r="D19" s="47" t="n">
        <f aca="false">D18/'Income Statement'!D6</f>
        <v>-0.00336181277340329</v>
      </c>
      <c r="E19" s="47" t="n">
        <f aca="false">E18/'Income Statement'!E6</f>
        <v>0.00154833450456778</v>
      </c>
      <c r="F19" s="47" t="n">
        <f aca="false">F18/'Income Statement'!F6</f>
        <v>0.00583665799946937</v>
      </c>
      <c r="G19" s="47" t="n">
        <f aca="false">G18/'Income Statement'!G6</f>
        <v>0.0673719703211332</v>
      </c>
      <c r="H19" s="47" t="n">
        <f aca="false">H18/'Income Statement'!H6</f>
        <v>0.0801193116126401</v>
      </c>
      <c r="I19" s="47" t="n">
        <f aca="false">I18/'Income Statement'!I6</f>
        <v>0.090561220126492</v>
      </c>
      <c r="J19" s="47" t="n">
        <f aca="false">J18/'Income Statement'!J6</f>
        <v>0.0992064465415107</v>
      </c>
      <c r="K19" s="47" t="n">
        <f aca="false">K18/'Income Statement'!K6</f>
        <v>0.103824042310464</v>
      </c>
    </row>
    <row r="20" customFormat="false" ht="18" hidden="false" customHeight="true" outlineLevel="0" collapsed="false">
      <c r="A20" s="24" t="s">
        <v>175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</row>
    <row r="21" customFormat="false" ht="16.5" hidden="false" customHeight="true" outlineLevel="0" collapsed="false">
      <c r="A21" s="28" t="s">
        <v>176</v>
      </c>
      <c r="B21" s="48" t="n">
        <f aca="false">0</f>
        <v>0</v>
      </c>
      <c r="C21" s="48" t="n">
        <f aca="false">0</f>
        <v>0</v>
      </c>
      <c r="D21" s="48" t="n">
        <f aca="false">0</f>
        <v>0</v>
      </c>
      <c r="E21" s="48" t="n">
        <f aca="false">0</f>
        <v>0</v>
      </c>
      <c r="F21" s="48" t="n">
        <f aca="false">0</f>
        <v>0</v>
      </c>
      <c r="G21" s="48" t="n">
        <f aca="false">0</f>
        <v>0</v>
      </c>
      <c r="H21" s="48" t="n">
        <f aca="false">0</f>
        <v>0</v>
      </c>
      <c r="I21" s="48" t="n">
        <f aca="false">0</f>
        <v>0</v>
      </c>
      <c r="J21" s="48" t="n">
        <f aca="false">0</f>
        <v>0</v>
      </c>
      <c r="K21" s="48" t="n">
        <f aca="false">0</f>
        <v>0</v>
      </c>
    </row>
    <row r="22" customFormat="false" ht="16.5" hidden="false" customHeight="true" outlineLevel="0" collapsed="false">
      <c r="A22" s="28" t="s">
        <v>177</v>
      </c>
      <c r="B22" s="51" t="n">
        <f aca="false">Assumptions!B39</f>
        <v>-30</v>
      </c>
      <c r="C22" s="51" t="n">
        <f aca="false">Assumptions!C39</f>
        <v>-55</v>
      </c>
      <c r="D22" s="51" t="n">
        <f aca="false">Assumptions!D39</f>
        <v>-68</v>
      </c>
      <c r="E22" s="51" t="n">
        <f aca="false">Assumptions!E39</f>
        <v>-82</v>
      </c>
      <c r="F22" s="51" t="n">
        <f aca="false">Assumptions!F39</f>
        <v>-110</v>
      </c>
      <c r="G22" s="51" t="n">
        <f aca="false">Assumptions!G39</f>
        <v>-120</v>
      </c>
      <c r="H22" s="51" t="n">
        <f aca="false">Assumptions!H39</f>
        <v>-125</v>
      </c>
      <c r="I22" s="51" t="n">
        <f aca="false">Assumptions!I39</f>
        <v>-130</v>
      </c>
      <c r="J22" s="51" t="n">
        <f aca="false">Assumptions!J39</f>
        <v>-140</v>
      </c>
      <c r="K22" s="51" t="n">
        <f aca="false">Assumptions!K39</f>
        <v>-150</v>
      </c>
    </row>
    <row r="23" customFormat="false" ht="16.5" hidden="false" customHeight="true" outlineLevel="0" collapsed="false">
      <c r="A23" s="28" t="s">
        <v>178</v>
      </c>
      <c r="B23" s="48" t="n">
        <f aca="false">0</f>
        <v>0</v>
      </c>
      <c r="C23" s="48" t="n">
        <f aca="false">0</f>
        <v>0</v>
      </c>
      <c r="D23" s="48" t="n">
        <f aca="false">0</f>
        <v>0</v>
      </c>
      <c r="E23" s="48" t="n">
        <f aca="false">0</f>
        <v>0</v>
      </c>
      <c r="F23" s="48" t="n">
        <f aca="false">0</f>
        <v>0</v>
      </c>
      <c r="G23" s="48" t="n">
        <f aca="false">0</f>
        <v>0</v>
      </c>
      <c r="H23" s="48" t="n">
        <f aca="false">0</f>
        <v>0</v>
      </c>
      <c r="I23" s="48" t="n">
        <f aca="false">0</f>
        <v>0</v>
      </c>
      <c r="J23" s="48" t="n">
        <f aca="false">0</f>
        <v>0</v>
      </c>
      <c r="K23" s="48" t="n">
        <f aca="false">0</f>
        <v>0</v>
      </c>
    </row>
    <row r="24" customFormat="false" ht="16.5" hidden="false" customHeight="true" outlineLevel="0" collapsed="false">
      <c r="A24" s="28" t="s">
        <v>179</v>
      </c>
      <c r="B24" s="51" t="n">
        <f aca="false">Assumptions!B38</f>
        <v>450</v>
      </c>
      <c r="C24" s="51" t="n">
        <f aca="false">Assumptions!C38</f>
        <v>280</v>
      </c>
      <c r="D24" s="51" t="n">
        <f aca="false">Assumptions!D38</f>
        <v>180</v>
      </c>
      <c r="E24" s="51" t="n">
        <f aca="false">Assumptions!E38</f>
        <v>120</v>
      </c>
      <c r="F24" s="51" t="n">
        <f aca="false">Assumptions!F38</f>
        <v>80</v>
      </c>
      <c r="G24" s="51" t="n">
        <f aca="false">Assumptions!G38</f>
        <v>40</v>
      </c>
      <c r="H24" s="51" t="n">
        <f aca="false">Assumptions!H38</f>
        <v>30</v>
      </c>
      <c r="I24" s="51" t="n">
        <f aca="false">Assumptions!I38</f>
        <v>20</v>
      </c>
      <c r="J24" s="51" t="n">
        <f aca="false">Assumptions!J38</f>
        <v>10</v>
      </c>
      <c r="K24" s="51" t="n">
        <f aca="false">Assumptions!K38</f>
        <v>0</v>
      </c>
    </row>
    <row r="25" customFormat="false" ht="16.5" hidden="false" customHeight="true" outlineLevel="0" collapsed="false">
      <c r="A25" s="25" t="s">
        <v>180</v>
      </c>
      <c r="B25" s="27" t="n">
        <f aca="false">SUM(B21:B24)</f>
        <v>420</v>
      </c>
      <c r="C25" s="27" t="n">
        <f aca="false">SUM(C21:C24)</f>
        <v>225</v>
      </c>
      <c r="D25" s="27" t="n">
        <f aca="false">SUM(D21:D24)</f>
        <v>112</v>
      </c>
      <c r="E25" s="27" t="n">
        <f aca="false">SUM(E21:E24)</f>
        <v>38</v>
      </c>
      <c r="F25" s="27" t="n">
        <f aca="false">SUM(F21:F24)</f>
        <v>-30</v>
      </c>
      <c r="G25" s="27" t="n">
        <f aca="false">SUM(G21:G24)</f>
        <v>-80</v>
      </c>
      <c r="H25" s="27" t="n">
        <f aca="false">SUM(H21:H24)</f>
        <v>-95</v>
      </c>
      <c r="I25" s="27" t="n">
        <f aca="false">SUM(I21:I24)</f>
        <v>-110</v>
      </c>
      <c r="J25" s="27" t="n">
        <f aca="false">SUM(J21:J24)</f>
        <v>-130</v>
      </c>
      <c r="K25" s="27" t="n">
        <f aca="false">SUM(K21:K24)</f>
        <v>-150</v>
      </c>
    </row>
    <row r="26" customFormat="false" ht="18" hidden="false" customHeight="true" outlineLevel="0" collapsed="false">
      <c r="A26" s="24" t="s">
        <v>181</v>
      </c>
      <c r="B26" s="24"/>
      <c r="C26" s="24"/>
      <c r="D26" s="24"/>
      <c r="E26" s="24"/>
      <c r="F26" s="24"/>
      <c r="G26" s="24"/>
      <c r="H26" s="24"/>
      <c r="I26" s="24"/>
      <c r="J26" s="24"/>
      <c r="K26" s="24"/>
    </row>
    <row r="27" customFormat="false" ht="16.5" hidden="false" customHeight="true" outlineLevel="0" collapsed="false">
      <c r="A27" s="28" t="s">
        <v>182</v>
      </c>
      <c r="B27" s="26" t="n">
        <v>250</v>
      </c>
      <c r="C27" s="48" t="n">
        <f aca="false">B29</f>
        <v>640.1384</v>
      </c>
      <c r="D27" s="48" t="n">
        <f aca="false">C29</f>
        <v>833.501052</v>
      </c>
      <c r="E27" s="48" t="n">
        <f aca="false">D29</f>
        <v>923.815948</v>
      </c>
      <c r="F27" s="48" t="n">
        <f aca="false">E29</f>
        <v>950.222508</v>
      </c>
      <c r="G27" s="48" t="n">
        <f aca="false">F29</f>
        <v>922.220872</v>
      </c>
      <c r="H27" s="48" t="n">
        <f aca="false">G29</f>
        <v>1107.695322</v>
      </c>
      <c r="I27" s="48" t="n">
        <f aca="false">H29</f>
        <v>1378.512107</v>
      </c>
      <c r="J27" s="48" t="n">
        <f aca="false">I29</f>
        <v>1744.8650969476</v>
      </c>
      <c r="K27" s="48" t="n">
        <f aca="false">J29</f>
        <v>2202.57269374382</v>
      </c>
    </row>
    <row r="28" customFormat="false" ht="16.5" hidden="false" customHeight="true" outlineLevel="0" collapsed="false">
      <c r="A28" s="28" t="s">
        <v>183</v>
      </c>
      <c r="B28" s="48" t="n">
        <f aca="false">B11+B16+B25</f>
        <v>390.1384</v>
      </c>
      <c r="C28" s="48" t="n">
        <f aca="false">C11+C16+C25</f>
        <v>193.362652</v>
      </c>
      <c r="D28" s="48" t="n">
        <f aca="false">D11+D16+D25</f>
        <v>90.3148960000001</v>
      </c>
      <c r="E28" s="48" t="n">
        <f aca="false">E11+E16+E25</f>
        <v>26.4065599999999</v>
      </c>
      <c r="F28" s="48" t="n">
        <f aca="false">F11+F16+F25</f>
        <v>-28.001636</v>
      </c>
      <c r="G28" s="48" t="n">
        <f aca="false">G11+G16+G25</f>
        <v>185.47445</v>
      </c>
      <c r="H28" s="48" t="n">
        <f aca="false">H11+H16+H25</f>
        <v>270.816785</v>
      </c>
      <c r="I28" s="48" t="n">
        <f aca="false">I11+I16+I25</f>
        <v>366.3529899476</v>
      </c>
      <c r="J28" s="48" t="n">
        <f aca="false">J11+J16+J25</f>
        <v>457.707596796224</v>
      </c>
      <c r="K28" s="48" t="n">
        <f aca="false">K11+K16+K25</f>
        <v>528.012092906048</v>
      </c>
    </row>
    <row r="29" customFormat="false" ht="16.5" hidden="false" customHeight="true" outlineLevel="0" collapsed="false">
      <c r="A29" s="25" t="s">
        <v>184</v>
      </c>
      <c r="B29" s="27" t="n">
        <f aca="false">B27+B28</f>
        <v>640.1384</v>
      </c>
      <c r="C29" s="27" t="n">
        <f aca="false">C27+C28</f>
        <v>833.501052</v>
      </c>
      <c r="D29" s="27" t="n">
        <f aca="false">D27+D28</f>
        <v>923.815948</v>
      </c>
      <c r="E29" s="27" t="n">
        <f aca="false">E27+E28</f>
        <v>950.222508</v>
      </c>
      <c r="F29" s="27" t="n">
        <f aca="false">F27+F28</f>
        <v>922.220872</v>
      </c>
      <c r="G29" s="27" t="n">
        <f aca="false">G27+G28</f>
        <v>1107.695322</v>
      </c>
      <c r="H29" s="27" t="n">
        <f aca="false">H27+H28</f>
        <v>1378.512107</v>
      </c>
      <c r="I29" s="27" t="n">
        <f aca="false">I27+I28</f>
        <v>1744.8650969476</v>
      </c>
      <c r="J29" s="27" t="n">
        <f aca="false">J27+J28</f>
        <v>2202.57269374382</v>
      </c>
      <c r="K29" s="27" t="n">
        <f aca="false">K27+K28</f>
        <v>2730.58478664987</v>
      </c>
    </row>
  </sheetData>
  <mergeCells count="6">
    <mergeCell ref="A1:K1"/>
    <mergeCell ref="A5:K5"/>
    <mergeCell ref="A12:K12"/>
    <mergeCell ref="A17:K17"/>
    <mergeCell ref="A20:K20"/>
    <mergeCell ref="A26:K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8" min="2" style="1" width="14"/>
  </cols>
  <sheetData>
    <row r="1" customFormat="false" ht="30" hidden="false" customHeight="true" outlineLevel="0" collapsed="false">
      <c r="A1" s="19" t="s">
        <v>185</v>
      </c>
      <c r="B1" s="19"/>
      <c r="C1" s="19"/>
      <c r="D1" s="19"/>
      <c r="E1" s="19"/>
      <c r="F1" s="19"/>
      <c r="G1" s="19"/>
    </row>
    <row r="3" customFormat="false" ht="18" hidden="false" customHeight="true" outlineLevel="0" collapsed="false">
      <c r="A3" s="24" t="s">
        <v>186</v>
      </c>
      <c r="B3" s="24"/>
      <c r="C3" s="24"/>
      <c r="D3" s="24"/>
      <c r="E3" s="24"/>
      <c r="F3" s="24"/>
      <c r="G3" s="24"/>
    </row>
    <row r="6" customFormat="false" ht="16.5" hidden="false" customHeight="true" outlineLevel="0" collapsed="false">
      <c r="A6" s="28" t="s">
        <v>187</v>
      </c>
      <c r="B6" s="62" t="n">
        <f aca="false">Assumptions!B43</f>
        <v>0.0661</v>
      </c>
      <c r="C6" s="20" t="s">
        <v>188</v>
      </c>
    </row>
    <row r="7" customFormat="false" ht="16.5" hidden="false" customHeight="true" outlineLevel="0" collapsed="false">
      <c r="A7" s="28" t="s">
        <v>189</v>
      </c>
      <c r="B7" s="63" t="n">
        <f aca="false">Assumptions!B44</f>
        <v>1.15</v>
      </c>
      <c r="C7" s="64" t="s">
        <v>190</v>
      </c>
    </row>
    <row r="8" customFormat="false" ht="16.5" hidden="false" customHeight="true" outlineLevel="0" collapsed="false">
      <c r="A8" s="28" t="s">
        <v>84</v>
      </c>
      <c r="B8" s="62" t="n">
        <f aca="false">Assumptions!B45</f>
        <v>0.07</v>
      </c>
      <c r="C8" s="64" t="s">
        <v>85</v>
      </c>
    </row>
    <row r="9" customFormat="false" ht="16.5" hidden="false" customHeight="true" outlineLevel="0" collapsed="false">
      <c r="A9" s="25" t="s">
        <v>191</v>
      </c>
      <c r="B9" s="65" t="n">
        <f aca="false">Assumptions!B46</f>
        <v>0.1466</v>
      </c>
      <c r="C9" s="42" t="s">
        <v>192</v>
      </c>
    </row>
    <row r="10" customFormat="false" ht="16.5" hidden="false" customHeight="true" outlineLevel="0" collapsed="false">
      <c r="A10" s="43" t="s">
        <v>193</v>
      </c>
      <c r="B10" s="66" t="n">
        <f aca="false">Assumptions!B47</f>
        <v>0.1466</v>
      </c>
      <c r="C10" s="42" t="s">
        <v>194</v>
      </c>
    </row>
    <row r="11" customFormat="false" ht="16.5" hidden="false" customHeight="true" outlineLevel="0" collapsed="false">
      <c r="A11" s="28" t="s">
        <v>90</v>
      </c>
      <c r="B11" s="62" t="n">
        <f aca="false">Assumptions!B48</f>
        <v>0.045</v>
      </c>
      <c r="C11" s="20" t="s">
        <v>91</v>
      </c>
    </row>
    <row r="12" customFormat="false" ht="16.5" hidden="false" customHeight="true" outlineLevel="0" collapsed="false">
      <c r="A12" s="28" t="s">
        <v>92</v>
      </c>
      <c r="B12" s="52" t="n">
        <f aca="false">Assumptions!B49</f>
        <v>1</v>
      </c>
    </row>
    <row r="13" customFormat="false" ht="16.5" hidden="false" customHeight="true" outlineLevel="0" collapsed="false">
      <c r="A13" s="28" t="s">
        <v>94</v>
      </c>
      <c r="B13" s="52" t="n">
        <f aca="false">Assumptions!B50</f>
        <v>0</v>
      </c>
    </row>
    <row r="15" customFormat="false" ht="18" hidden="false" customHeight="true" outlineLevel="0" collapsed="false">
      <c r="A15" s="24" t="s">
        <v>195</v>
      </c>
      <c r="B15" s="24"/>
      <c r="C15" s="24"/>
      <c r="D15" s="24"/>
      <c r="E15" s="24"/>
      <c r="F15" s="24"/>
      <c r="G15" s="24"/>
    </row>
    <row r="16" customFormat="false" ht="19.5" hidden="false" customHeight="true" outlineLevel="0" collapsed="false">
      <c r="A16" s="21"/>
      <c r="B16" s="21" t="s">
        <v>45</v>
      </c>
      <c r="C16" s="21" t="s">
        <v>46</v>
      </c>
      <c r="D16" s="21" t="s">
        <v>47</v>
      </c>
      <c r="E16" s="21" t="s">
        <v>48</v>
      </c>
      <c r="F16" s="21" t="s">
        <v>49</v>
      </c>
      <c r="G16" s="21" t="s">
        <v>196</v>
      </c>
    </row>
    <row r="17" customFormat="false" ht="16.5" hidden="false" customHeight="true" outlineLevel="0" collapsed="false">
      <c r="A17" s="28" t="s">
        <v>197</v>
      </c>
      <c r="B17" s="51" t="n">
        <f aca="false">Assumptions!G6</f>
        <v>4296.66</v>
      </c>
      <c r="C17" s="51" t="n">
        <f aca="false">Assumptions!H6</f>
        <v>4915.37904</v>
      </c>
      <c r="D17" s="51" t="n">
        <f aca="false">Assumptions!I6</f>
        <v>5613.36286368</v>
      </c>
      <c r="E17" s="51" t="n">
        <f aca="false">Assumptions!J6</f>
        <v>6286.9664073216</v>
      </c>
      <c r="F17" s="51" t="n">
        <f aca="false">Assumptions!K6</f>
        <v>6915.66304805376</v>
      </c>
    </row>
    <row r="18" customFormat="false" ht="16.5" hidden="false" customHeight="true" outlineLevel="0" collapsed="false">
      <c r="A18" s="28" t="s">
        <v>115</v>
      </c>
      <c r="B18" s="51" t="n">
        <f aca="false">'Income Statement'!G23</f>
        <v>472.6326</v>
      </c>
      <c r="C18" s="51" t="n">
        <f aca="false">'Income Statement'!H23</f>
        <v>614.42238</v>
      </c>
      <c r="D18" s="51" t="n">
        <f aca="false">'Income Statement'!I23</f>
        <v>757.8039865968</v>
      </c>
      <c r="E18" s="51" t="n">
        <f aca="false">'Income Statement'!J23</f>
        <v>911.610129061632</v>
      </c>
      <c r="F18" s="51" t="n">
        <f aca="false">'Income Statement'!K23</f>
        <v>1037.34945720806</v>
      </c>
    </row>
    <row r="19" customFormat="false" ht="16.5" hidden="false" customHeight="true" outlineLevel="0" collapsed="false">
      <c r="A19" s="25" t="s">
        <v>198</v>
      </c>
      <c r="B19" s="48" t="n">
        <f aca="false">-B18*Assumptions!B14</f>
        <v>-157.3866558</v>
      </c>
      <c r="C19" s="48" t="n">
        <f aca="false">-C18*Assumptions!B14</f>
        <v>-204.60265254</v>
      </c>
      <c r="D19" s="48" t="n">
        <f aca="false">-D18*Assumptions!B14</f>
        <v>-252.348727536734</v>
      </c>
      <c r="E19" s="48" t="n">
        <f aca="false">-E18*Assumptions!B14</f>
        <v>-303.566172977524</v>
      </c>
      <c r="F19" s="48" t="n">
        <f aca="false">-F18*Assumptions!B14</f>
        <v>-345.437369250285</v>
      </c>
    </row>
    <row r="20" customFormat="false" ht="16.5" hidden="false" customHeight="true" outlineLevel="0" collapsed="false">
      <c r="A20" s="25" t="s">
        <v>199</v>
      </c>
      <c r="B20" s="27" t="n">
        <f aca="false">B18*(1-Assumptions!B14)</f>
        <v>315.2459442</v>
      </c>
      <c r="C20" s="27" t="n">
        <f aca="false">C18*(1-Assumptions!B14)</f>
        <v>409.81972746</v>
      </c>
      <c r="D20" s="27" t="n">
        <f aca="false">D18*(1-Assumptions!B14)</f>
        <v>505.455259060066</v>
      </c>
      <c r="E20" s="27" t="n">
        <f aca="false">E18*(1-Assumptions!B14)</f>
        <v>608.043956084109</v>
      </c>
      <c r="F20" s="27" t="n">
        <f aca="false">F18*(1-Assumptions!B14)</f>
        <v>691.912087957779</v>
      </c>
    </row>
    <row r="21" customFormat="false" ht="16.5" hidden="false" customHeight="true" outlineLevel="0" collapsed="false">
      <c r="A21" s="28" t="s">
        <v>200</v>
      </c>
      <c r="B21" s="48" t="n">
        <f aca="false">'Income Statement'!G20-'Income Statement'!G23</f>
        <v>1288.998</v>
      </c>
      <c r="C21" s="48" t="n">
        <f aca="false">'Income Statement'!H20-'Income Statement'!H23</f>
        <v>1450.0368168</v>
      </c>
      <c r="D21" s="48" t="n">
        <f aca="false">'Income Statement'!I20-'Income Statement'!I23</f>
        <v>1627.8752304672</v>
      </c>
      <c r="E21" s="48" t="n">
        <f aca="false">'Income Statement'!J20-'Income Statement'!J23</f>
        <v>1791.78542608666</v>
      </c>
      <c r="F21" s="48" t="n">
        <f aca="false">'Income Statement'!K20-'Income Statement'!K23</f>
        <v>1936.38565345505</v>
      </c>
    </row>
    <row r="22" customFormat="false" ht="16.5" hidden="false" customHeight="true" outlineLevel="0" collapsed="false">
      <c r="A22" s="28" t="s">
        <v>201</v>
      </c>
      <c r="B22" s="48" t="n">
        <f aca="false">-Assumptions!G37*B17</f>
        <v>-429.666</v>
      </c>
      <c r="C22" s="48" t="n">
        <f aca="false">-Assumptions!H37*C17</f>
        <v>-466.9610088</v>
      </c>
      <c r="D22" s="48" t="n">
        <f aca="false">-Assumptions!I37*D17</f>
        <v>-505.2026577312</v>
      </c>
      <c r="E22" s="48" t="n">
        <f aca="false">-Assumptions!J37*E17</f>
        <v>-534.392144622336</v>
      </c>
      <c r="F22" s="48" t="n">
        <f aca="false">-Assumptions!K37*F17</f>
        <v>-553.253043844301</v>
      </c>
    </row>
    <row r="23" customFormat="false" ht="16.5" hidden="false" customHeight="true" outlineLevel="0" collapsed="false">
      <c r="A23" s="28" t="s">
        <v>202</v>
      </c>
      <c r="B23" s="51" t="n">
        <f aca="false">Assumptions!G36</f>
        <v>-65</v>
      </c>
      <c r="C23" s="51" t="n">
        <f aca="false">Assumptions!H36</f>
        <v>-67</v>
      </c>
      <c r="D23" s="51" t="n">
        <f aca="false">Assumptions!I36</f>
        <v>-65</v>
      </c>
      <c r="E23" s="51" t="n">
        <f aca="false">Assumptions!J36</f>
        <v>-70</v>
      </c>
      <c r="F23" s="51" t="n">
        <f aca="false">Assumptions!K36</f>
        <v>-75</v>
      </c>
    </row>
    <row r="24" customFormat="false" ht="16.5" hidden="false" customHeight="true" outlineLevel="0" collapsed="false">
      <c r="A24" s="25" t="s">
        <v>203</v>
      </c>
      <c r="B24" s="27" t="n">
        <f aca="false">B20+B21+B22+B23</f>
        <v>1109.5779442</v>
      </c>
      <c r="C24" s="27" t="n">
        <f aca="false">C20+C21+C22+C23</f>
        <v>1325.89553546</v>
      </c>
      <c r="D24" s="27" t="n">
        <f aca="false">D20+D21+D22+D23</f>
        <v>1563.12783179607</v>
      </c>
      <c r="E24" s="27" t="n">
        <f aca="false">E20+E21+E22+E23</f>
        <v>1795.43723754843</v>
      </c>
      <c r="F24" s="27" t="n">
        <f aca="false">F20+F21+F22+F23</f>
        <v>2000.04469756853</v>
      </c>
    </row>
    <row r="25" customFormat="false" ht="16.5" hidden="false" customHeight="true" outlineLevel="0" collapsed="false">
      <c r="A25" s="28" t="s">
        <v>204</v>
      </c>
      <c r="B25" s="67" t="n">
        <f aca="false">1</f>
        <v>1</v>
      </c>
      <c r="C25" s="67" t="n">
        <f aca="false">2</f>
        <v>2</v>
      </c>
      <c r="D25" s="67" t="n">
        <f aca="false">3</f>
        <v>3</v>
      </c>
      <c r="E25" s="67" t="n">
        <f aca="false">4</f>
        <v>4</v>
      </c>
      <c r="F25" s="67" t="n">
        <f aca="false">5</f>
        <v>5</v>
      </c>
    </row>
    <row r="26" customFormat="false" ht="16.5" hidden="false" customHeight="true" outlineLevel="0" collapsed="false">
      <c r="A26" s="28" t="s">
        <v>205</v>
      </c>
      <c r="B26" s="68" t="n">
        <f aca="false">1/(1+Assumptions!B47)^B25</f>
        <v>0.872143729286586</v>
      </c>
      <c r="C26" s="68" t="n">
        <f aca="false">1/(1+Assumptions!B47)^C25</f>
        <v>0.760634684533915</v>
      </c>
      <c r="D26" s="68" t="n">
        <f aca="false">1/(1+Assumptions!B47)^D25</f>
        <v>0.663382770394134</v>
      </c>
      <c r="E26" s="68" t="n">
        <f aca="false">1/(1+Assumptions!B47)^E25</f>
        <v>0.578565123316008</v>
      </c>
      <c r="F26" s="68" t="n">
        <f aca="false">1/(1+Assumptions!B47)^F25</f>
        <v>0.504591944283977</v>
      </c>
    </row>
    <row r="27" customFormat="false" ht="16.5" hidden="false" customHeight="true" outlineLevel="0" collapsed="false">
      <c r="A27" s="25" t="s">
        <v>206</v>
      </c>
      <c r="B27" s="27" t="n">
        <f aca="false">B24*B26</f>
        <v>967.711446188732</v>
      </c>
      <c r="C27" s="27" t="n">
        <f aca="false">C24*C26</f>
        <v>1008.52213233954</v>
      </c>
      <c r="D27" s="27" t="n">
        <f aca="false">D24*D26</f>
        <v>1036.95207153705</v>
      </c>
      <c r="E27" s="27" t="n">
        <f aca="false">E24*E26</f>
        <v>1038.77736674836</v>
      </c>
      <c r="F27" s="27" t="n">
        <f aca="false">F24*F26</f>
        <v>1009.20644260096</v>
      </c>
    </row>
    <row r="29" customFormat="false" ht="18" hidden="false" customHeight="true" outlineLevel="0" collapsed="false">
      <c r="A29" s="24" t="s">
        <v>207</v>
      </c>
      <c r="B29" s="24"/>
      <c r="C29" s="24"/>
      <c r="D29" s="24"/>
      <c r="E29" s="24"/>
      <c r="F29" s="24"/>
      <c r="G29" s="24"/>
    </row>
    <row r="31" customFormat="false" ht="16.5" hidden="false" customHeight="true" outlineLevel="0" collapsed="false">
      <c r="A31" s="69" t="s">
        <v>208</v>
      </c>
      <c r="B31" s="27" t="n">
        <f aca="false">F24*(1+Assumptions!B48)</f>
        <v>2090.04670895911</v>
      </c>
      <c r="C31" s="42" t="s">
        <v>209</v>
      </c>
    </row>
    <row r="32" customFormat="false" ht="16.5" hidden="false" customHeight="true" outlineLevel="0" collapsed="false">
      <c r="A32" s="43" t="s">
        <v>210</v>
      </c>
      <c r="B32" s="49" t="n">
        <f aca="false">B31/(Assumptions!B47-Assumptions!B48)</f>
        <v>20571.3258755818</v>
      </c>
      <c r="C32" s="42" t="s">
        <v>211</v>
      </c>
    </row>
    <row r="33" customFormat="false" ht="16.5" hidden="false" customHeight="true" outlineLevel="0" collapsed="false">
      <c r="A33" s="69" t="s">
        <v>212</v>
      </c>
      <c r="B33" s="27" t="n">
        <f aca="false">B32*F26</f>
        <v>10380.1253200591</v>
      </c>
      <c r="C33" s="42" t="s">
        <v>213</v>
      </c>
    </row>
    <row r="35" customFormat="false" ht="18" hidden="false" customHeight="true" outlineLevel="0" collapsed="false">
      <c r="A35" s="24" t="s">
        <v>214</v>
      </c>
      <c r="B35" s="24"/>
      <c r="C35" s="24"/>
      <c r="D35" s="24"/>
      <c r="E35" s="24"/>
      <c r="F35" s="24"/>
      <c r="G35" s="24"/>
    </row>
    <row r="37" customFormat="false" ht="16.5" hidden="false" customHeight="true" outlineLevel="0" collapsed="false">
      <c r="A37" s="25" t="s">
        <v>215</v>
      </c>
      <c r="B37" s="27" t="n">
        <f aca="false">SUM(B27:F27)</f>
        <v>5061.16945941465</v>
      </c>
    </row>
    <row r="38" customFormat="false" ht="16.5" hidden="false" customHeight="true" outlineLevel="0" collapsed="false">
      <c r="A38" s="25" t="s">
        <v>216</v>
      </c>
      <c r="B38" s="27" t="n">
        <f aca="false">B33</f>
        <v>10380.1253200591</v>
      </c>
    </row>
    <row r="39" customFormat="false" ht="16.5" hidden="false" customHeight="true" outlineLevel="0" collapsed="false">
      <c r="A39" s="58" t="s">
        <v>217</v>
      </c>
      <c r="B39" s="49" t="n">
        <f aca="false">B37+B38</f>
        <v>15441.2947794738</v>
      </c>
    </row>
    <row r="40" customFormat="false" ht="16.5" hidden="false" customHeight="true" outlineLevel="0" collapsed="false">
      <c r="A40" s="28" t="s">
        <v>218</v>
      </c>
      <c r="B40" s="51" t="n">
        <f aca="false">'Balance Sheet'!F6</f>
        <v>800</v>
      </c>
    </row>
    <row r="41" customFormat="false" ht="16.5" hidden="false" customHeight="true" outlineLevel="0" collapsed="false">
      <c r="A41" s="28" t="s">
        <v>219</v>
      </c>
      <c r="B41" s="26" t="n">
        <v>50</v>
      </c>
    </row>
    <row r="42" customFormat="false" ht="16.5" hidden="false" customHeight="true" outlineLevel="0" collapsed="false">
      <c r="A42" s="28" t="s">
        <v>220</v>
      </c>
      <c r="B42" s="48" t="n">
        <f aca="false">0</f>
        <v>0</v>
      </c>
    </row>
    <row r="43" customFormat="false" ht="16.5" hidden="false" customHeight="true" outlineLevel="0" collapsed="false">
      <c r="A43" s="58" t="s">
        <v>221</v>
      </c>
      <c r="B43" s="49" t="n">
        <f aca="false">B39+B40+B41-B42</f>
        <v>16291.2947794738</v>
      </c>
    </row>
    <row r="45" customFormat="false" ht="18" hidden="false" customHeight="true" outlineLevel="0" collapsed="false">
      <c r="A45" s="24" t="s">
        <v>222</v>
      </c>
      <c r="B45" s="24"/>
      <c r="C45" s="24"/>
      <c r="D45" s="24"/>
      <c r="E45" s="24"/>
      <c r="F45" s="24"/>
      <c r="G45" s="24"/>
    </row>
    <row r="46" customFormat="false" ht="19.5" hidden="false" customHeight="true" outlineLevel="0" collapsed="false">
      <c r="A46" s="21" t="s">
        <v>223</v>
      </c>
      <c r="B46" s="21" t="s">
        <v>224</v>
      </c>
      <c r="C46" s="21" t="s">
        <v>225</v>
      </c>
      <c r="D46" s="21" t="s">
        <v>226</v>
      </c>
      <c r="E46" s="21" t="s">
        <v>227</v>
      </c>
    </row>
    <row r="47" customFormat="false" ht="16.5" hidden="false" customHeight="true" outlineLevel="0" collapsed="false">
      <c r="A47" s="28" t="s">
        <v>228</v>
      </c>
      <c r="B47" s="51" t="n">
        <f aca="false">'Income Statement'!F6</f>
        <v>3769</v>
      </c>
      <c r="C47" s="70" t="n">
        <f aca="false">B39/'Income Statement'!F6</f>
        <v>4.09692087542419</v>
      </c>
      <c r="D47" s="71" t="n">
        <v>3.5</v>
      </c>
      <c r="E47" s="47" t="n">
        <f aca="false">C47/D47-1</f>
        <v>0.170548821549768</v>
      </c>
    </row>
    <row r="48" customFormat="false" ht="16.5" hidden="false" customHeight="true" outlineLevel="0" collapsed="false">
      <c r="A48" s="28" t="s">
        <v>229</v>
      </c>
      <c r="B48" s="51" t="n">
        <f aca="false">'Income Statement'!F20</f>
        <v>1500.062</v>
      </c>
      <c r="C48" s="70" t="n">
        <f aca="false">B39/'Income Statement'!F20</f>
        <v>10.2937710437794</v>
      </c>
      <c r="D48" s="71" t="n">
        <v>8.5</v>
      </c>
      <c r="E48" s="47" t="n">
        <f aca="false">C48/D48-1</f>
        <v>0.211031887503454</v>
      </c>
    </row>
  </sheetData>
  <mergeCells count="6">
    <mergeCell ref="A1:G1"/>
    <mergeCell ref="A3:G3"/>
    <mergeCell ref="A15:G15"/>
    <mergeCell ref="A29:G29"/>
    <mergeCell ref="A35:G35"/>
    <mergeCell ref="A45:G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5"/>
  </cols>
  <sheetData>
    <row r="1" customFormat="false" ht="30" hidden="false" customHeight="true" outlineLevel="0" collapsed="false">
      <c r="A1" s="19" t="s">
        <v>230</v>
      </c>
      <c r="B1" s="19"/>
      <c r="C1" s="19"/>
      <c r="D1" s="19"/>
      <c r="E1" s="19"/>
      <c r="F1" s="19"/>
      <c r="G1" s="19"/>
      <c r="H1" s="19"/>
    </row>
    <row r="3" customFormat="false" ht="18" hidden="false" customHeight="true" outlineLevel="0" collapsed="false">
      <c r="A3" s="24" t="s">
        <v>231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0" t="s">
        <v>232</v>
      </c>
    </row>
    <row r="5" customFormat="false" ht="15" hidden="false" customHeight="true" outlineLevel="0" collapsed="false">
      <c r="A5" s="42" t="s">
        <v>233</v>
      </c>
    </row>
    <row r="7" customFormat="false" ht="15" hidden="false" customHeight="true" outlineLevel="0" collapsed="false">
      <c r="A7" s="22" t="s">
        <v>234</v>
      </c>
      <c r="B7" s="21" t="s">
        <v>235</v>
      </c>
      <c r="C7" s="21" t="s">
        <v>236</v>
      </c>
      <c r="D7" s="21" t="s">
        <v>237</v>
      </c>
      <c r="E7" s="21" t="s">
        <v>238</v>
      </c>
      <c r="F7" s="21" t="s">
        <v>239</v>
      </c>
    </row>
    <row r="8" customFormat="false" ht="16.5" hidden="false" customHeight="true" outlineLevel="0" collapsed="false">
      <c r="A8" s="21" t="s">
        <v>240</v>
      </c>
      <c r="B8" s="72" t="n">
        <v>19234</v>
      </c>
      <c r="C8" s="72" t="n">
        <v>20156</v>
      </c>
      <c r="D8" s="72" t="n">
        <v>21234</v>
      </c>
      <c r="E8" s="72" t="n">
        <v>22489</v>
      </c>
      <c r="F8" s="72" t="n">
        <v>23956</v>
      </c>
    </row>
    <row r="9" customFormat="false" ht="16.5" hidden="false" customHeight="true" outlineLevel="0" collapsed="false">
      <c r="A9" s="21" t="s">
        <v>241</v>
      </c>
      <c r="B9" s="73" t="n">
        <v>17456</v>
      </c>
      <c r="C9" s="72" t="n">
        <v>18234</v>
      </c>
      <c r="D9" s="72" t="n">
        <v>19123</v>
      </c>
      <c r="E9" s="72" t="n">
        <v>20145</v>
      </c>
      <c r="F9" s="72" t="n">
        <v>21323</v>
      </c>
    </row>
    <row r="10" customFormat="false" ht="16.5" hidden="false" customHeight="true" outlineLevel="0" collapsed="false">
      <c r="A10" s="74" t="s">
        <v>242</v>
      </c>
      <c r="B10" s="75" t="n">
        <v>14928</v>
      </c>
      <c r="C10" s="76" t="n">
        <f aca="false">'DCF &amp; WACC'!B39</f>
        <v>15441.2947794738</v>
      </c>
      <c r="D10" s="77" t="n">
        <v>16668</v>
      </c>
      <c r="E10" s="78" t="n">
        <v>17234</v>
      </c>
      <c r="F10" s="79" t="n">
        <v>18456</v>
      </c>
    </row>
    <row r="11" customFormat="false" ht="16.5" hidden="false" customHeight="true" outlineLevel="0" collapsed="false">
      <c r="A11" s="21" t="s">
        <v>243</v>
      </c>
      <c r="B11" s="80" t="n">
        <v>14123</v>
      </c>
      <c r="C11" s="80" t="n">
        <v>14689</v>
      </c>
      <c r="D11" s="73" t="n">
        <v>15334</v>
      </c>
      <c r="E11" s="73" t="n">
        <v>16078</v>
      </c>
      <c r="F11" s="73" t="n">
        <v>16945</v>
      </c>
    </row>
    <row r="12" customFormat="false" ht="16.5" hidden="false" customHeight="true" outlineLevel="0" collapsed="false">
      <c r="A12" s="21" t="s">
        <v>244</v>
      </c>
      <c r="B12" s="80" t="n">
        <v>13045</v>
      </c>
      <c r="C12" s="80" t="n">
        <v>13534</v>
      </c>
      <c r="D12" s="80" t="n">
        <v>14089</v>
      </c>
      <c r="E12" s="80" t="n">
        <v>14723</v>
      </c>
      <c r="F12" s="73" t="n">
        <v>15445</v>
      </c>
    </row>
    <row r="13" customFormat="false" ht="16.5" hidden="false" customHeight="true" outlineLevel="0" collapsed="false">
      <c r="A13" s="21" t="s">
        <v>245</v>
      </c>
      <c r="B13" s="80" t="n">
        <v>12056</v>
      </c>
      <c r="C13" s="80" t="n">
        <v>12489</v>
      </c>
      <c r="D13" s="80" t="n">
        <v>12985</v>
      </c>
      <c r="E13" s="80" t="n">
        <v>13543</v>
      </c>
      <c r="F13" s="80" t="n">
        <v>14167</v>
      </c>
    </row>
    <row r="17" customFormat="false" ht="18" hidden="false" customHeight="true" outlineLevel="0" collapsed="false">
      <c r="A17" s="24" t="s">
        <v>246</v>
      </c>
      <c r="B17" s="24"/>
      <c r="C17" s="24"/>
      <c r="D17" s="24"/>
      <c r="E17" s="24"/>
      <c r="F17" s="24"/>
      <c r="G17" s="24"/>
    </row>
    <row r="18" customFormat="false" ht="19.5" hidden="false" customHeight="true" outlineLevel="0" collapsed="false">
      <c r="A18" s="21" t="s">
        <v>247</v>
      </c>
      <c r="B18" s="21" t="s">
        <v>248</v>
      </c>
      <c r="C18" s="21" t="s">
        <v>249</v>
      </c>
      <c r="D18" s="21" t="s">
        <v>250</v>
      </c>
      <c r="E18" s="21" t="s">
        <v>251</v>
      </c>
      <c r="F18" s="21" t="s">
        <v>252</v>
      </c>
    </row>
    <row r="19" customFormat="false" ht="16.5" hidden="false" customHeight="true" outlineLevel="0" collapsed="false">
      <c r="A19" s="81" t="s">
        <v>253</v>
      </c>
      <c r="B19" s="82" t="s">
        <v>254</v>
      </c>
      <c r="C19" s="83" t="n">
        <v>13234</v>
      </c>
      <c r="D19" s="84" t="n">
        <v>-0.205</v>
      </c>
      <c r="E19" s="83" t="n">
        <v>14084</v>
      </c>
      <c r="F19" s="82" t="s">
        <v>255</v>
      </c>
    </row>
    <row r="20" customFormat="false" ht="16.5" hidden="false" customHeight="true" outlineLevel="0" collapsed="false">
      <c r="A20" s="85" t="s">
        <v>256</v>
      </c>
      <c r="B20" s="86" t="s">
        <v>257</v>
      </c>
      <c r="C20" s="87" t="n">
        <v>14567</v>
      </c>
      <c r="D20" s="88" t="n">
        <v>-0.126</v>
      </c>
      <c r="E20" s="87" t="n">
        <v>15417</v>
      </c>
      <c r="F20" s="86" t="s">
        <v>258</v>
      </c>
    </row>
    <row r="21" customFormat="false" ht="16.5" hidden="false" customHeight="true" outlineLevel="0" collapsed="false">
      <c r="A21" s="89" t="s">
        <v>259</v>
      </c>
      <c r="B21" s="90" t="s">
        <v>260</v>
      </c>
      <c r="C21" s="77" t="n">
        <f aca="false">'DCF &amp; WACC'!B39</f>
        <v>15441.2947794738</v>
      </c>
      <c r="D21" s="91" t="n">
        <v>0</v>
      </c>
      <c r="E21" s="77" t="n">
        <v>17518</v>
      </c>
      <c r="F21" s="90" t="s">
        <v>261</v>
      </c>
    </row>
    <row r="22" customFormat="false" ht="16.5" hidden="false" customHeight="true" outlineLevel="0" collapsed="false">
      <c r="A22" s="85" t="s">
        <v>262</v>
      </c>
      <c r="B22" s="86" t="s">
        <v>263</v>
      </c>
      <c r="C22" s="87" t="n">
        <v>17234</v>
      </c>
      <c r="D22" s="88" t="n">
        <v>0.034</v>
      </c>
      <c r="E22" s="87" t="n">
        <v>18084</v>
      </c>
      <c r="F22" s="86" t="s">
        <v>264</v>
      </c>
    </row>
    <row r="23" customFormat="false" ht="16.5" hidden="false" customHeight="true" outlineLevel="0" collapsed="false">
      <c r="A23" s="81" t="s">
        <v>265</v>
      </c>
      <c r="B23" s="82" t="s">
        <v>266</v>
      </c>
      <c r="C23" s="83" t="n">
        <v>18789</v>
      </c>
      <c r="D23" s="84" t="n">
        <v>0.127</v>
      </c>
      <c r="E23" s="83" t="n">
        <v>19639</v>
      </c>
      <c r="F23" s="82" t="s">
        <v>267</v>
      </c>
    </row>
    <row r="24" customFormat="false" ht="16.5" hidden="false" customHeight="true" outlineLevel="0" collapsed="false">
      <c r="A24" s="85" t="s">
        <v>268</v>
      </c>
      <c r="B24" s="86" t="s">
        <v>269</v>
      </c>
      <c r="C24" s="87" t="n">
        <v>20567</v>
      </c>
      <c r="D24" s="88" t="n">
        <v>0.234</v>
      </c>
      <c r="E24" s="87" t="n">
        <v>21417</v>
      </c>
      <c r="F24" s="86" t="s">
        <v>270</v>
      </c>
    </row>
  </sheetData>
  <mergeCells count="3">
    <mergeCell ref="A1:H1"/>
    <mergeCell ref="A3:H3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" min="2" style="1" width="14"/>
  </cols>
  <sheetData>
    <row r="1" customFormat="false" ht="30" hidden="false" customHeight="true" outlineLevel="0" collapsed="false">
      <c r="A1" s="19" t="s">
        <v>271</v>
      </c>
      <c r="B1" s="19"/>
      <c r="C1" s="19"/>
      <c r="D1" s="19"/>
      <c r="E1" s="19"/>
      <c r="F1" s="19"/>
      <c r="G1" s="19"/>
      <c r="H1" s="19"/>
    </row>
    <row r="3" customFormat="false" ht="18" hidden="false" customHeight="true" outlineLevel="0" collapsed="false">
      <c r="A3" s="24" t="s">
        <v>272</v>
      </c>
      <c r="B3" s="24"/>
      <c r="C3" s="24"/>
      <c r="D3" s="24"/>
      <c r="E3" s="24"/>
      <c r="F3" s="24"/>
      <c r="G3" s="24"/>
      <c r="H3" s="24"/>
    </row>
    <row r="4" customFormat="false" ht="19.5" hidden="false" customHeight="true" outlineLevel="0" collapsed="false">
      <c r="A4" s="21" t="s">
        <v>273</v>
      </c>
      <c r="B4" s="21" t="s">
        <v>274</v>
      </c>
      <c r="C4" s="21" t="s">
        <v>275</v>
      </c>
      <c r="D4" s="21" t="s">
        <v>276</v>
      </c>
      <c r="E4" s="21" t="s">
        <v>277</v>
      </c>
      <c r="F4" s="21" t="s">
        <v>278</v>
      </c>
      <c r="G4" s="21" t="s">
        <v>279</v>
      </c>
      <c r="H4" s="21" t="s">
        <v>280</v>
      </c>
    </row>
    <row r="5" customFormat="false" ht="21.75" hidden="false" customHeight="true" outlineLevel="0" collapsed="false">
      <c r="A5" s="12" t="s">
        <v>281</v>
      </c>
      <c r="B5" s="92" t="s">
        <v>282</v>
      </c>
      <c r="C5" s="92" t="s">
        <v>283</v>
      </c>
      <c r="D5" s="92" t="s">
        <v>284</v>
      </c>
      <c r="E5" s="92" t="s">
        <v>285</v>
      </c>
      <c r="F5" s="92" t="s">
        <v>286</v>
      </c>
      <c r="G5" s="92" t="s">
        <v>287</v>
      </c>
      <c r="H5" s="92" t="s">
        <v>288</v>
      </c>
    </row>
    <row r="6" customFormat="false" ht="21.75" hidden="false" customHeight="true" outlineLevel="0" collapsed="false">
      <c r="A6" s="17" t="s">
        <v>289</v>
      </c>
      <c r="B6" s="93" t="s">
        <v>282</v>
      </c>
      <c r="C6" s="93" t="s">
        <v>290</v>
      </c>
      <c r="D6" s="93" t="s">
        <v>291</v>
      </c>
      <c r="E6" s="93" t="s">
        <v>292</v>
      </c>
      <c r="F6" s="93" t="s">
        <v>293</v>
      </c>
      <c r="G6" s="93" t="s">
        <v>294</v>
      </c>
      <c r="H6" s="93" t="s">
        <v>295</v>
      </c>
    </row>
    <row r="7" customFormat="false" ht="21.75" hidden="false" customHeight="true" outlineLevel="0" collapsed="false">
      <c r="A7" s="12" t="s">
        <v>296</v>
      </c>
      <c r="B7" s="92" t="s">
        <v>282</v>
      </c>
      <c r="C7" s="92" t="s">
        <v>297</v>
      </c>
      <c r="D7" s="92" t="s">
        <v>298</v>
      </c>
      <c r="E7" s="92" t="s">
        <v>299</v>
      </c>
      <c r="F7" s="92" t="s">
        <v>300</v>
      </c>
      <c r="G7" s="92" t="s">
        <v>301</v>
      </c>
      <c r="H7" s="92" t="s">
        <v>302</v>
      </c>
    </row>
    <row r="8" customFormat="false" ht="21.75" hidden="false" customHeight="true" outlineLevel="0" collapsed="false">
      <c r="A8" s="17" t="s">
        <v>303</v>
      </c>
      <c r="B8" s="93" t="s">
        <v>282</v>
      </c>
      <c r="C8" s="93" t="s">
        <v>304</v>
      </c>
      <c r="D8" s="93" t="s">
        <v>305</v>
      </c>
      <c r="E8" s="93" t="s">
        <v>306</v>
      </c>
      <c r="F8" s="93" t="s">
        <v>307</v>
      </c>
      <c r="G8" s="93" t="s">
        <v>308</v>
      </c>
      <c r="H8" s="93" t="s">
        <v>309</v>
      </c>
    </row>
    <row r="9" customFormat="false" ht="21.75" hidden="false" customHeight="true" outlineLevel="0" collapsed="false">
      <c r="A9" s="12" t="s">
        <v>310</v>
      </c>
      <c r="B9" s="92" t="s">
        <v>311</v>
      </c>
      <c r="C9" s="92" t="s">
        <v>312</v>
      </c>
      <c r="D9" s="92" t="s">
        <v>313</v>
      </c>
      <c r="E9" s="92" t="s">
        <v>314</v>
      </c>
      <c r="F9" s="92" t="s">
        <v>315</v>
      </c>
      <c r="G9" s="92" t="s">
        <v>316</v>
      </c>
      <c r="H9" s="92" t="s">
        <v>317</v>
      </c>
    </row>
    <row r="10" customFormat="false" ht="21.75" hidden="false" customHeight="true" outlineLevel="0" collapsed="false">
      <c r="A10" s="94" t="s">
        <v>318</v>
      </c>
      <c r="B10" s="22" t="s">
        <v>282</v>
      </c>
      <c r="C10" s="95" t="n">
        <f aca="false">'DCF &amp; WACC'!B43</f>
        <v>16291.2947794738</v>
      </c>
      <c r="D10" s="96" t="n">
        <f aca="false">'DCF &amp; WACC'!C47</f>
        <v>4.09692087542419</v>
      </c>
      <c r="E10" s="96" t="n">
        <f aca="false">'DCF &amp; WACC'!C48</f>
        <v>10.2937710437794</v>
      </c>
      <c r="F10" s="22" t="s">
        <v>319</v>
      </c>
      <c r="G10" s="22" t="s">
        <v>320</v>
      </c>
      <c r="H10" s="22" t="s">
        <v>321</v>
      </c>
    </row>
  </sheetData>
  <mergeCells count="2">
    <mergeCell ref="A1:H1"/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6" min="2" style="1" width="16"/>
  </cols>
  <sheetData>
    <row r="1" customFormat="false" ht="30" hidden="false" customHeight="true" outlineLevel="0" collapsed="false">
      <c r="A1" s="19" t="s">
        <v>322</v>
      </c>
      <c r="B1" s="19"/>
      <c r="C1" s="19"/>
      <c r="D1" s="19"/>
      <c r="E1" s="19"/>
      <c r="F1" s="19"/>
    </row>
    <row r="3" customFormat="false" ht="27.75" hidden="false" customHeight="true" outlineLevel="0" collapsed="false">
      <c r="A3" s="21" t="s">
        <v>323</v>
      </c>
      <c r="B3" s="97" t="s">
        <v>324</v>
      </c>
      <c r="C3" s="22" t="s">
        <v>325</v>
      </c>
      <c r="D3" s="98" t="s">
        <v>326</v>
      </c>
      <c r="E3" s="99" t="s">
        <v>327</v>
      </c>
    </row>
    <row r="4" customFormat="false" ht="19.5" hidden="false" customHeight="true" outlineLevel="0" collapsed="false">
      <c r="A4" s="82" t="s">
        <v>247</v>
      </c>
      <c r="B4" s="100" t="s">
        <v>265</v>
      </c>
      <c r="C4" s="101" t="s">
        <v>259</v>
      </c>
      <c r="D4" s="102" t="s">
        <v>253</v>
      </c>
      <c r="E4" s="103" t="s">
        <v>328</v>
      </c>
    </row>
    <row r="5" customFormat="false" ht="19.5" hidden="false" customHeight="true" outlineLevel="0" collapsed="false">
      <c r="A5" s="82" t="s">
        <v>329</v>
      </c>
      <c r="B5" s="100" t="s">
        <v>239</v>
      </c>
      <c r="C5" s="101" t="s">
        <v>237</v>
      </c>
      <c r="D5" s="102" t="s">
        <v>235</v>
      </c>
      <c r="E5" s="103" t="s">
        <v>237</v>
      </c>
    </row>
    <row r="6" customFormat="false" ht="19.5" hidden="false" customHeight="true" outlineLevel="0" collapsed="false">
      <c r="A6" s="82" t="s">
        <v>5</v>
      </c>
      <c r="B6" s="100" t="s">
        <v>330</v>
      </c>
      <c r="C6" s="101" t="s">
        <v>242</v>
      </c>
      <c r="D6" s="102" t="s">
        <v>331</v>
      </c>
      <c r="E6" s="103" t="s">
        <v>332</v>
      </c>
    </row>
    <row r="7" customFormat="false" ht="19.5" hidden="false" customHeight="true" outlineLevel="0" collapsed="false">
      <c r="A7" s="82" t="s">
        <v>333</v>
      </c>
      <c r="B7" s="100" t="s">
        <v>334</v>
      </c>
      <c r="C7" s="101" t="s">
        <v>335</v>
      </c>
      <c r="D7" s="102" t="s">
        <v>253</v>
      </c>
      <c r="E7" s="103" t="s">
        <v>336</v>
      </c>
    </row>
    <row r="8" customFormat="false" ht="19.5" hidden="false" customHeight="true" outlineLevel="0" collapsed="false">
      <c r="A8" s="82" t="s">
        <v>337</v>
      </c>
      <c r="B8" s="100" t="s">
        <v>338</v>
      </c>
      <c r="C8" s="101" t="s">
        <v>339</v>
      </c>
      <c r="D8" s="102" t="s">
        <v>340</v>
      </c>
      <c r="E8" s="103" t="s">
        <v>341</v>
      </c>
    </row>
    <row r="9" customFormat="false" ht="19.5" hidden="false" customHeight="true" outlineLevel="0" collapsed="false">
      <c r="A9" s="104" t="s">
        <v>342</v>
      </c>
      <c r="B9" s="97" t="s">
        <v>343</v>
      </c>
      <c r="C9" s="95" t="n">
        <f aca="false">'DCF &amp; WACC'!B39</f>
        <v>15441.2947794738</v>
      </c>
      <c r="D9" s="98" t="s">
        <v>344</v>
      </c>
      <c r="E9" s="99" t="s">
        <v>345</v>
      </c>
    </row>
    <row r="11" customFormat="false" ht="18" hidden="false" customHeight="true" outlineLevel="0" collapsed="false">
      <c r="A11" s="24" t="s">
        <v>346</v>
      </c>
      <c r="B11" s="24"/>
      <c r="C11" s="24"/>
      <c r="D11" s="24"/>
      <c r="E11" s="24"/>
      <c r="F11" s="24"/>
    </row>
    <row r="12" customFormat="false" ht="18" hidden="false" customHeight="true" outlineLevel="0" collapsed="false">
      <c r="A12" s="21" t="s">
        <v>248</v>
      </c>
      <c r="B12" s="21" t="s">
        <v>347</v>
      </c>
      <c r="C12" s="21" t="s">
        <v>348</v>
      </c>
      <c r="D12" s="21" t="s">
        <v>349</v>
      </c>
    </row>
    <row r="13" customFormat="false" ht="18" hidden="false" customHeight="true" outlineLevel="0" collapsed="false">
      <c r="A13" s="105" t="s">
        <v>350</v>
      </c>
      <c r="B13" s="106" t="n">
        <v>0.25</v>
      </c>
      <c r="C13" s="72" t="n">
        <v>22456</v>
      </c>
      <c r="D13" s="72" t="n">
        <f aca="false">B13*C13</f>
        <v>5614</v>
      </c>
    </row>
    <row r="14" customFormat="false" ht="18" hidden="false" customHeight="true" outlineLevel="0" collapsed="false">
      <c r="A14" s="107" t="s">
        <v>351</v>
      </c>
      <c r="B14" s="108" t="n">
        <v>0.5</v>
      </c>
      <c r="C14" s="109" t="n">
        <f aca="false">'DCF &amp; WACC'!B39</f>
        <v>15441.2947794738</v>
      </c>
      <c r="D14" s="73" t="n">
        <f aca="false">B14*C14</f>
        <v>7720.64738973688</v>
      </c>
    </row>
    <row r="15" customFormat="false" ht="18" hidden="false" customHeight="true" outlineLevel="0" collapsed="false">
      <c r="A15" s="110" t="s">
        <v>352</v>
      </c>
      <c r="B15" s="111" t="n">
        <v>0.25</v>
      </c>
      <c r="C15" s="80" t="n">
        <v>11234</v>
      </c>
      <c r="D15" s="80" t="n">
        <f aca="false">B15*C15</f>
        <v>2808.5</v>
      </c>
    </row>
    <row r="16" customFormat="false" ht="19.5" hidden="false" customHeight="true" outlineLevel="0" collapsed="false">
      <c r="A16" s="94" t="s">
        <v>353</v>
      </c>
      <c r="B16" s="22"/>
      <c r="C16" s="22"/>
      <c r="D16" s="95" t="n">
        <f aca="false">D13+D14+D15</f>
        <v>16143.1473897369</v>
      </c>
    </row>
  </sheetData>
  <mergeCells count="2">
    <mergeCell ref="A1:F1"/>
    <mergeCell ref="A11:F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11" min="2" style="1" width="13"/>
  </cols>
  <sheetData>
    <row r="1" customFormat="false" ht="30" hidden="false" customHeight="true" outlineLevel="0" collapsed="false">
      <c r="A1" s="19" t="s">
        <v>354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customFormat="false" ht="6" hidden="false" customHeight="true" outlineLevel="0" collapsed="false"/>
    <row r="3" customFormat="false" ht="19.5" hidden="false" customHeight="true" outlineLevel="0" collapsed="false">
      <c r="A3" s="20" t="s">
        <v>39</v>
      </c>
      <c r="B3" s="21" t="s">
        <v>40</v>
      </c>
      <c r="C3" s="21" t="s">
        <v>41</v>
      </c>
      <c r="D3" s="21" t="s">
        <v>42</v>
      </c>
      <c r="E3" s="21" t="s">
        <v>43</v>
      </c>
      <c r="F3" s="22" t="s">
        <v>44</v>
      </c>
      <c r="G3" s="23" t="s">
        <v>45</v>
      </c>
      <c r="H3" s="23" t="s">
        <v>46</v>
      </c>
      <c r="I3" s="23" t="s">
        <v>47</v>
      </c>
      <c r="J3" s="23" t="s">
        <v>48</v>
      </c>
      <c r="K3" s="23" t="s">
        <v>49</v>
      </c>
    </row>
    <row r="4" customFormat="false" ht="18" hidden="false" customHeight="true" outlineLevel="0" collapsed="false">
      <c r="A4" s="24" t="s">
        <v>355</v>
      </c>
      <c r="B4" s="24"/>
      <c r="C4" s="24"/>
      <c r="D4" s="24"/>
      <c r="E4" s="24"/>
      <c r="F4" s="24"/>
      <c r="G4" s="24"/>
      <c r="H4" s="24"/>
      <c r="I4" s="24"/>
      <c r="J4" s="24"/>
      <c r="K4" s="24"/>
    </row>
    <row r="5" customFormat="false" ht="16.5" hidden="false" customHeight="true" outlineLevel="0" collapsed="false">
      <c r="A5" s="25" t="s">
        <v>356</v>
      </c>
      <c r="B5" s="27" t="n">
        <v>950</v>
      </c>
      <c r="C5" s="27" t="n">
        <v>1837</v>
      </c>
      <c r="D5" s="27" t="n">
        <v>2286</v>
      </c>
      <c r="E5" s="27" t="n">
        <v>2846</v>
      </c>
      <c r="F5" s="27" t="n">
        <v>3769</v>
      </c>
      <c r="G5" s="27" t="n">
        <v>4297</v>
      </c>
      <c r="H5" s="27" t="n">
        <v>4915</v>
      </c>
      <c r="I5" s="27" t="n">
        <v>5613</v>
      </c>
      <c r="J5" s="27" t="n">
        <v>6287</v>
      </c>
      <c r="K5" s="27" t="n">
        <v>6916</v>
      </c>
    </row>
    <row r="6" customFormat="false" ht="16.5" hidden="false" customHeight="true" outlineLevel="0" collapsed="false">
      <c r="A6" s="28" t="s">
        <v>357</v>
      </c>
      <c r="B6" s="36" t="s">
        <v>53</v>
      </c>
      <c r="C6" s="47" t="n">
        <v>0.934</v>
      </c>
      <c r="D6" s="47" t="n">
        <v>0.244</v>
      </c>
      <c r="E6" s="47" t="n">
        <v>0.245</v>
      </c>
      <c r="F6" s="47" t="n">
        <v>0.324</v>
      </c>
      <c r="G6" s="47" t="n">
        <v>0.14</v>
      </c>
      <c r="H6" s="47" t="n">
        <v>0.144</v>
      </c>
      <c r="I6" s="47" t="n">
        <v>0.142</v>
      </c>
      <c r="J6" s="47" t="n">
        <v>0.119</v>
      </c>
      <c r="K6" s="47" t="n">
        <v>0.1</v>
      </c>
    </row>
    <row r="7" customFormat="false" ht="16.5" hidden="false" customHeight="true" outlineLevel="0" collapsed="false">
      <c r="A7" s="112" t="s">
        <v>358</v>
      </c>
      <c r="B7" s="36" t="s">
        <v>53</v>
      </c>
      <c r="C7" s="36" t="s">
        <v>53</v>
      </c>
      <c r="D7" s="36" t="s">
        <v>53</v>
      </c>
      <c r="E7" s="36" t="s">
        <v>53</v>
      </c>
      <c r="F7" s="113" t="n">
        <v>0.4113</v>
      </c>
      <c r="G7" s="36" t="s">
        <v>53</v>
      </c>
      <c r="H7" s="36" t="s">
        <v>53</v>
      </c>
      <c r="I7" s="36" t="s">
        <v>53</v>
      </c>
      <c r="J7" s="36" t="s">
        <v>53</v>
      </c>
      <c r="K7" s="36" t="s">
        <v>53</v>
      </c>
    </row>
    <row r="8" customFormat="false" ht="16.5" hidden="false" customHeight="true" outlineLevel="0" collapsed="false">
      <c r="A8" s="112" t="s">
        <v>359</v>
      </c>
      <c r="B8" s="36" t="s">
        <v>53</v>
      </c>
      <c r="C8" s="36" t="s">
        <v>53</v>
      </c>
      <c r="D8" s="36" t="s">
        <v>53</v>
      </c>
      <c r="E8" s="36" t="s">
        <v>53</v>
      </c>
      <c r="F8" s="36" t="s">
        <v>53</v>
      </c>
      <c r="G8" s="36" t="s">
        <v>53</v>
      </c>
      <c r="H8" s="36" t="s">
        <v>53</v>
      </c>
      <c r="I8" s="36" t="s">
        <v>53</v>
      </c>
      <c r="J8" s="36" t="s">
        <v>53</v>
      </c>
      <c r="K8" s="113" t="n">
        <v>0.247</v>
      </c>
    </row>
    <row r="10" customFormat="false" ht="18" hidden="false" customHeight="true" outlineLevel="0" collapsed="false">
      <c r="A10" s="24" t="s">
        <v>360</v>
      </c>
      <c r="B10" s="24"/>
      <c r="C10" s="24"/>
      <c r="D10" s="24"/>
      <c r="E10" s="24"/>
      <c r="F10" s="24"/>
      <c r="G10" s="24"/>
      <c r="H10" s="24"/>
      <c r="I10" s="24"/>
      <c r="J10" s="24"/>
      <c r="K10" s="24"/>
    </row>
    <row r="11" customFormat="false" ht="16.5" hidden="false" customHeight="true" outlineLevel="0" collapsed="false">
      <c r="A11" s="25" t="s">
        <v>361</v>
      </c>
      <c r="B11" s="114" t="n">
        <v>3.5</v>
      </c>
      <c r="C11" s="114" t="n">
        <v>5.5</v>
      </c>
      <c r="D11" s="114" t="n">
        <v>7</v>
      </c>
      <c r="E11" s="114" t="n">
        <v>17</v>
      </c>
      <c r="F11" s="114" t="n">
        <v>21</v>
      </c>
      <c r="G11" s="115" t="n">
        <v>25</v>
      </c>
      <c r="H11" s="115" t="n">
        <v>30</v>
      </c>
      <c r="I11" s="115" t="n">
        <v>35</v>
      </c>
      <c r="J11" s="115" t="n">
        <v>40</v>
      </c>
      <c r="K11" s="115" t="n">
        <v>44</v>
      </c>
    </row>
    <row r="12" customFormat="false" ht="16.5" hidden="false" customHeight="true" outlineLevel="0" collapsed="false">
      <c r="A12" s="28" t="s">
        <v>362</v>
      </c>
      <c r="B12" s="36" t="s">
        <v>53</v>
      </c>
      <c r="C12" s="116" t="n">
        <v>2</v>
      </c>
      <c r="D12" s="116" t="n">
        <v>1.5</v>
      </c>
      <c r="E12" s="116" t="n">
        <v>10</v>
      </c>
      <c r="F12" s="116" t="n">
        <v>4</v>
      </c>
      <c r="G12" s="50" t="n">
        <v>4</v>
      </c>
      <c r="H12" s="50" t="n">
        <v>5</v>
      </c>
      <c r="I12" s="50" t="n">
        <v>5</v>
      </c>
      <c r="J12" s="50" t="n">
        <v>5</v>
      </c>
      <c r="K12" s="50" t="n">
        <v>4</v>
      </c>
    </row>
    <row r="13" customFormat="false" ht="16.5" hidden="false" customHeight="true" outlineLevel="0" collapsed="false">
      <c r="A13" s="28" t="s">
        <v>363</v>
      </c>
      <c r="B13" s="36" t="s">
        <v>53</v>
      </c>
      <c r="C13" s="117" t="n">
        <v>0.571</v>
      </c>
      <c r="D13" s="117" t="n">
        <v>0.273</v>
      </c>
      <c r="E13" s="117" t="n">
        <v>1.429</v>
      </c>
      <c r="F13" s="117" t="n">
        <v>0.235</v>
      </c>
      <c r="G13" s="52" t="n">
        <v>0.19</v>
      </c>
      <c r="H13" s="52" t="n">
        <v>0.2</v>
      </c>
      <c r="I13" s="52" t="n">
        <v>0.167</v>
      </c>
      <c r="J13" s="52" t="n">
        <v>0.143</v>
      </c>
      <c r="K13" s="52" t="n">
        <v>0.1</v>
      </c>
    </row>
    <row r="14" customFormat="false" ht="16.5" hidden="false" customHeight="true" outlineLevel="0" collapsed="false">
      <c r="A14" s="28" t="s">
        <v>364</v>
      </c>
      <c r="B14" s="118" t="n">
        <v>27143</v>
      </c>
      <c r="C14" s="118" t="n">
        <v>33400</v>
      </c>
      <c r="D14" s="118" t="n">
        <v>32657</v>
      </c>
      <c r="E14" s="118" t="n">
        <v>16741</v>
      </c>
      <c r="F14" s="118" t="n">
        <v>17948</v>
      </c>
      <c r="G14" s="51" t="n">
        <v>17200</v>
      </c>
      <c r="H14" s="51" t="n">
        <v>16400</v>
      </c>
      <c r="I14" s="51" t="n">
        <v>16057</v>
      </c>
      <c r="J14" s="51" t="n">
        <v>15717</v>
      </c>
      <c r="K14" s="51" t="n">
        <v>15718</v>
      </c>
    </row>
    <row r="15" customFormat="false" ht="16.5" hidden="false" customHeight="true" outlineLevel="0" collapsed="false">
      <c r="A15" s="25" t="s">
        <v>365</v>
      </c>
      <c r="B15" s="119" t="n">
        <v>2262</v>
      </c>
      <c r="C15" s="119" t="n">
        <v>2783</v>
      </c>
      <c r="D15" s="119" t="n">
        <v>2721</v>
      </c>
      <c r="E15" s="119" t="n">
        <v>1395</v>
      </c>
      <c r="F15" s="119" t="n">
        <v>1496</v>
      </c>
      <c r="G15" s="46" t="n">
        <v>1433</v>
      </c>
      <c r="H15" s="46" t="n">
        <v>1367</v>
      </c>
      <c r="I15" s="46" t="n">
        <v>1338</v>
      </c>
      <c r="J15" s="46" t="n">
        <v>1310</v>
      </c>
      <c r="K15" s="46" t="n">
        <v>1310</v>
      </c>
    </row>
    <row r="16" customFormat="false" ht="16.5" hidden="false" customHeight="true" outlineLevel="0" collapsed="false">
      <c r="A16" s="28" t="s">
        <v>366</v>
      </c>
      <c r="B16" s="36" t="s">
        <v>53</v>
      </c>
      <c r="C16" s="117" t="n">
        <v>0.23</v>
      </c>
      <c r="D16" s="117" t="n">
        <v>-0.047</v>
      </c>
      <c r="E16" s="117" t="n">
        <v>-0.474</v>
      </c>
      <c r="F16" s="117" t="n">
        <v>0.09</v>
      </c>
      <c r="G16" s="52" t="n">
        <v>-0.042</v>
      </c>
      <c r="H16" s="52" t="n">
        <v>-0.046</v>
      </c>
      <c r="I16" s="52" t="n">
        <v>-0.021</v>
      </c>
      <c r="J16" s="52" t="n">
        <v>-0.021</v>
      </c>
      <c r="K16" s="52" t="n">
        <v>0</v>
      </c>
    </row>
    <row r="17" customFormat="false" ht="16.5" hidden="false" customHeight="true" outlineLevel="0" collapsed="false">
      <c r="A17" s="28" t="s">
        <v>367</v>
      </c>
      <c r="B17" s="117" t="n">
        <v>0.085</v>
      </c>
      <c r="C17" s="117" t="n">
        <v>0.112</v>
      </c>
      <c r="D17" s="117" t="n">
        <v>0.145</v>
      </c>
      <c r="E17" s="117" t="n">
        <v>0.175</v>
      </c>
      <c r="F17" s="117" t="n">
        <v>0.19</v>
      </c>
      <c r="G17" s="52" t="n">
        <v>0.195</v>
      </c>
      <c r="H17" s="52" t="n">
        <v>0.2</v>
      </c>
      <c r="I17" s="52" t="n">
        <v>0.205</v>
      </c>
      <c r="J17" s="52" t="n">
        <v>0.21</v>
      </c>
      <c r="K17" s="52" t="n">
        <v>0.215</v>
      </c>
    </row>
    <row r="19" customFormat="false" ht="18" hidden="false" customHeight="true" outlineLevel="0" collapsed="false">
      <c r="A19" s="24" t="s">
        <v>368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</row>
    <row r="20" customFormat="false" ht="21.75" hidden="false" customHeight="true" outlineLevel="0" collapsed="false">
      <c r="A20" s="21" t="s">
        <v>369</v>
      </c>
      <c r="B20" s="21" t="s">
        <v>370</v>
      </c>
      <c r="C20" s="21" t="s">
        <v>40</v>
      </c>
      <c r="D20" s="21" t="s">
        <v>41</v>
      </c>
      <c r="E20" s="21" t="s">
        <v>42</v>
      </c>
      <c r="F20" s="21" t="s">
        <v>43</v>
      </c>
      <c r="G20" s="21" t="s">
        <v>44</v>
      </c>
      <c r="H20" s="21" t="s">
        <v>45</v>
      </c>
      <c r="I20" s="21" t="s">
        <v>46</v>
      </c>
      <c r="J20" s="21" t="s">
        <v>47</v>
      </c>
    </row>
    <row r="21" customFormat="false" ht="16.5" hidden="false" customHeight="true" outlineLevel="0" collapsed="false">
      <c r="A21" s="12" t="s">
        <v>371</v>
      </c>
      <c r="B21" s="120" t="s">
        <v>372</v>
      </c>
      <c r="C21" s="83" t="n">
        <v>190</v>
      </c>
      <c r="D21" s="83" t="n">
        <v>294</v>
      </c>
      <c r="E21" s="83" t="n">
        <v>319</v>
      </c>
      <c r="F21" s="83" t="n">
        <v>512</v>
      </c>
      <c r="G21" s="83" t="n">
        <v>603</v>
      </c>
      <c r="H21" s="83" t="n">
        <v>645</v>
      </c>
      <c r="I21" s="83" t="n">
        <v>737</v>
      </c>
      <c r="J21" s="83" t="n">
        <v>843</v>
      </c>
    </row>
    <row r="22" customFormat="false" ht="16.5" hidden="false" customHeight="true" outlineLevel="0" collapsed="false">
      <c r="A22" s="17" t="s">
        <v>373</v>
      </c>
      <c r="B22" s="120" t="s">
        <v>374</v>
      </c>
      <c r="C22" s="87" t="n">
        <v>285</v>
      </c>
      <c r="D22" s="87" t="n">
        <v>459</v>
      </c>
      <c r="E22" s="87" t="n">
        <v>548</v>
      </c>
      <c r="F22" s="87" t="n">
        <v>597</v>
      </c>
      <c r="G22" s="87" t="n">
        <v>678</v>
      </c>
      <c r="H22" s="87" t="n">
        <v>731</v>
      </c>
      <c r="I22" s="87" t="n">
        <v>836</v>
      </c>
      <c r="J22" s="87" t="n">
        <v>956</v>
      </c>
    </row>
    <row r="23" customFormat="false" ht="16.5" hidden="false" customHeight="true" outlineLevel="0" collapsed="false">
      <c r="A23" s="12" t="s">
        <v>375</v>
      </c>
      <c r="B23" s="120" t="s">
        <v>376</v>
      </c>
      <c r="C23" s="83" t="n">
        <v>285</v>
      </c>
      <c r="D23" s="83" t="n">
        <v>551</v>
      </c>
      <c r="E23" s="83" t="n">
        <v>548</v>
      </c>
      <c r="F23" s="83" t="n">
        <v>398</v>
      </c>
      <c r="G23" s="83" t="n">
        <v>414</v>
      </c>
      <c r="H23" s="83" t="n">
        <v>430</v>
      </c>
      <c r="I23" s="83" t="n">
        <v>491</v>
      </c>
      <c r="J23" s="83" t="n">
        <v>562</v>
      </c>
    </row>
    <row r="24" customFormat="false" ht="16.5" hidden="false" customHeight="true" outlineLevel="0" collapsed="false">
      <c r="A24" s="17" t="s">
        <v>377</v>
      </c>
      <c r="B24" s="120" t="s">
        <v>378</v>
      </c>
      <c r="C24" s="87" t="n">
        <v>190</v>
      </c>
      <c r="D24" s="87" t="n">
        <v>551</v>
      </c>
      <c r="E24" s="87" t="n">
        <v>813</v>
      </c>
      <c r="F24" s="87" t="n">
        <v>1230</v>
      </c>
      <c r="G24" s="87" t="n">
        <v>1849</v>
      </c>
      <c r="H24" s="87" t="n">
        <v>2279</v>
      </c>
      <c r="I24" s="87" t="n">
        <v>2605</v>
      </c>
      <c r="J24" s="87" t="n">
        <v>2977</v>
      </c>
    </row>
    <row r="25" customFormat="false" ht="16.5" hidden="false" customHeight="true" outlineLevel="0" collapsed="false">
      <c r="A25" s="12" t="s">
        <v>379</v>
      </c>
      <c r="B25" s="120" t="s">
        <v>380</v>
      </c>
      <c r="C25" s="83" t="n">
        <v>0</v>
      </c>
      <c r="D25" s="83" t="n">
        <v>0</v>
      </c>
      <c r="E25" s="83" t="n">
        <v>0</v>
      </c>
      <c r="F25" s="83" t="n">
        <v>94</v>
      </c>
      <c r="G25" s="83" t="n">
        <v>225</v>
      </c>
      <c r="H25" s="83" t="n">
        <v>310</v>
      </c>
      <c r="I25" s="83" t="n">
        <v>430</v>
      </c>
      <c r="J25" s="83" t="n">
        <v>580</v>
      </c>
    </row>
    <row r="26" customFormat="false" ht="16.5" hidden="false" customHeight="true" outlineLevel="0" collapsed="false">
      <c r="A26" s="94" t="s">
        <v>381</v>
      </c>
      <c r="B26" s="121" t="s">
        <v>382</v>
      </c>
      <c r="C26" s="95" t="n">
        <v>950</v>
      </c>
      <c r="D26" s="95" t="n">
        <v>1855</v>
      </c>
      <c r="E26" s="95" t="n">
        <v>2228</v>
      </c>
      <c r="F26" s="95" t="n">
        <v>2831</v>
      </c>
      <c r="G26" s="95" t="n">
        <v>3769</v>
      </c>
      <c r="H26" s="95" t="n">
        <v>4395</v>
      </c>
      <c r="I26" s="95" t="n">
        <v>5099</v>
      </c>
      <c r="J26" s="95" t="n">
        <v>5918</v>
      </c>
    </row>
    <row r="28" customFormat="false" ht="18" hidden="false" customHeight="true" outlineLevel="0" collapsed="false">
      <c r="A28" s="24" t="s">
        <v>383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</row>
    <row r="29" customFormat="false" ht="19.5" hidden="false" customHeight="true" outlineLevel="0" collapsed="false">
      <c r="A29" s="21" t="s">
        <v>384</v>
      </c>
      <c r="B29" s="21" t="s">
        <v>40</v>
      </c>
      <c r="C29" s="21" t="s">
        <v>41</v>
      </c>
      <c r="D29" s="21" t="s">
        <v>42</v>
      </c>
      <c r="E29" s="21" t="s">
        <v>43</v>
      </c>
      <c r="F29" s="22" t="s">
        <v>44</v>
      </c>
      <c r="G29" s="23" t="s">
        <v>45</v>
      </c>
      <c r="H29" s="23" t="s">
        <v>46</v>
      </c>
      <c r="I29" s="23" t="s">
        <v>47</v>
      </c>
      <c r="J29" s="23" t="s">
        <v>48</v>
      </c>
      <c r="K29" s="23" t="s">
        <v>49</v>
      </c>
    </row>
    <row r="30" customFormat="false" ht="16.5" hidden="false" customHeight="true" outlineLevel="0" collapsed="false">
      <c r="A30" s="82" t="s">
        <v>385</v>
      </c>
      <c r="B30" s="83" t="n">
        <v>361</v>
      </c>
      <c r="C30" s="83" t="n">
        <v>699</v>
      </c>
      <c r="D30" s="83" t="n">
        <v>870</v>
      </c>
      <c r="E30" s="83" t="n">
        <v>1081</v>
      </c>
      <c r="F30" s="83" t="n">
        <v>1432</v>
      </c>
      <c r="G30" s="83" t="n">
        <v>1633</v>
      </c>
      <c r="H30" s="83" t="n">
        <v>1868</v>
      </c>
      <c r="I30" s="83" t="n">
        <v>2133</v>
      </c>
      <c r="J30" s="83" t="n">
        <v>2389</v>
      </c>
      <c r="K30" s="83" t="n">
        <v>2628</v>
      </c>
    </row>
    <row r="31" customFormat="false" ht="16.5" hidden="false" customHeight="true" outlineLevel="0" collapsed="false">
      <c r="A31" s="86" t="s">
        <v>386</v>
      </c>
      <c r="B31" s="87" t="n">
        <v>428</v>
      </c>
      <c r="C31" s="87" t="n">
        <v>826</v>
      </c>
      <c r="D31" s="87" t="n">
        <v>1029</v>
      </c>
      <c r="E31" s="87" t="n">
        <v>1281</v>
      </c>
      <c r="F31" s="87" t="n">
        <v>1697</v>
      </c>
      <c r="G31" s="87" t="n">
        <v>1934</v>
      </c>
      <c r="H31" s="87" t="n">
        <v>2212</v>
      </c>
      <c r="I31" s="87" t="n">
        <v>2527</v>
      </c>
      <c r="J31" s="87" t="n">
        <v>2830</v>
      </c>
      <c r="K31" s="87" t="n">
        <v>3112</v>
      </c>
    </row>
    <row r="32" customFormat="false" ht="16.5" hidden="false" customHeight="true" outlineLevel="0" collapsed="false">
      <c r="A32" s="82" t="s">
        <v>387</v>
      </c>
      <c r="B32" s="83" t="n">
        <v>190</v>
      </c>
      <c r="C32" s="83" t="n">
        <v>276</v>
      </c>
      <c r="D32" s="83" t="n">
        <v>343</v>
      </c>
      <c r="E32" s="83" t="n">
        <v>427</v>
      </c>
      <c r="F32" s="83" t="n">
        <v>565</v>
      </c>
      <c r="G32" s="83" t="n">
        <v>644</v>
      </c>
      <c r="H32" s="83" t="n">
        <v>735</v>
      </c>
      <c r="I32" s="83" t="n">
        <v>840</v>
      </c>
      <c r="J32" s="83" t="n">
        <v>941</v>
      </c>
      <c r="K32" s="83" t="n">
        <v>1038</v>
      </c>
    </row>
    <row r="33" customFormat="false" ht="16.5" hidden="false" customHeight="true" outlineLevel="0" collapsed="false">
      <c r="A33" s="86" t="s">
        <v>388</v>
      </c>
      <c r="B33" s="87" t="n">
        <v>0</v>
      </c>
      <c r="C33" s="87" t="n">
        <v>0</v>
      </c>
      <c r="D33" s="87" t="n">
        <v>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7" t="n">
        <v>0</v>
      </c>
      <c r="K33" s="87" t="n">
        <v>0</v>
      </c>
    </row>
    <row r="34" customFormat="false" ht="16.5" hidden="false" customHeight="true" outlineLevel="0" collapsed="false">
      <c r="A34" s="94" t="s">
        <v>389</v>
      </c>
      <c r="B34" s="95" t="n">
        <v>950</v>
      </c>
      <c r="C34" s="95" t="n">
        <v>1837</v>
      </c>
      <c r="D34" s="95" t="n">
        <v>2286</v>
      </c>
      <c r="E34" s="95" t="n">
        <v>2846</v>
      </c>
      <c r="F34" s="95" t="n">
        <v>3769</v>
      </c>
      <c r="G34" s="95" t="n">
        <v>4297</v>
      </c>
      <c r="H34" s="95" t="n">
        <v>4915</v>
      </c>
      <c r="I34" s="95" t="n">
        <v>5613</v>
      </c>
      <c r="J34" s="95" t="n">
        <v>6287</v>
      </c>
      <c r="K34" s="95" t="n">
        <v>6916</v>
      </c>
    </row>
    <row r="36" customFormat="false" ht="18" hidden="false" customHeight="true" outlineLevel="0" collapsed="false">
      <c r="A36" s="24" t="s">
        <v>390</v>
      </c>
      <c r="B36" s="24"/>
      <c r="C36" s="24"/>
      <c r="D36" s="24"/>
      <c r="E36" s="24"/>
      <c r="F36" s="24"/>
    </row>
    <row r="37" customFormat="false" ht="19.5" hidden="false" customHeight="true" outlineLevel="0" collapsed="false">
      <c r="A37" s="21" t="s">
        <v>391</v>
      </c>
      <c r="B37" s="21" t="s">
        <v>197</v>
      </c>
      <c r="C37" s="21" t="s">
        <v>392</v>
      </c>
      <c r="D37" s="21" t="s">
        <v>393</v>
      </c>
      <c r="E37" s="21" t="s">
        <v>394</v>
      </c>
    </row>
    <row r="38" customFormat="false" ht="16.5" hidden="false" customHeight="true" outlineLevel="0" collapsed="false">
      <c r="A38" s="81" t="s">
        <v>40</v>
      </c>
      <c r="B38" s="83" t="n">
        <v>950</v>
      </c>
      <c r="C38" s="122" t="s">
        <v>53</v>
      </c>
      <c r="D38" s="122" t="s">
        <v>53</v>
      </c>
      <c r="E38" s="82" t="s">
        <v>395</v>
      </c>
    </row>
    <row r="39" customFormat="false" ht="16.5" hidden="false" customHeight="true" outlineLevel="0" collapsed="false">
      <c r="A39" s="85" t="s">
        <v>41</v>
      </c>
      <c r="B39" s="87" t="n">
        <v>1837</v>
      </c>
      <c r="C39" s="123" t="n">
        <v>0.934</v>
      </c>
      <c r="D39" s="123" t="s">
        <v>53</v>
      </c>
      <c r="E39" s="86" t="s">
        <v>396</v>
      </c>
    </row>
    <row r="40" customFormat="false" ht="16.5" hidden="false" customHeight="true" outlineLevel="0" collapsed="false">
      <c r="A40" s="81" t="s">
        <v>42</v>
      </c>
      <c r="B40" s="83" t="n">
        <v>2286</v>
      </c>
      <c r="C40" s="122" t="n">
        <v>0.244</v>
      </c>
      <c r="D40" s="122" t="s">
        <v>53</v>
      </c>
      <c r="E40" s="82" t="s">
        <v>397</v>
      </c>
    </row>
    <row r="41" customFormat="false" ht="16.5" hidden="false" customHeight="true" outlineLevel="0" collapsed="false">
      <c r="A41" s="85" t="s">
        <v>43</v>
      </c>
      <c r="B41" s="87" t="n">
        <v>2846</v>
      </c>
      <c r="C41" s="123" t="n">
        <v>0.245</v>
      </c>
      <c r="D41" s="123" t="s">
        <v>53</v>
      </c>
      <c r="E41" s="86" t="s">
        <v>398</v>
      </c>
    </row>
    <row r="42" customFormat="false" ht="16.5" hidden="false" customHeight="true" outlineLevel="0" collapsed="false">
      <c r="A42" s="89" t="s">
        <v>44</v>
      </c>
      <c r="B42" s="77" t="n">
        <v>3769</v>
      </c>
      <c r="C42" s="124" t="n">
        <v>0.324</v>
      </c>
      <c r="D42" s="124" t="n">
        <v>0.4113</v>
      </c>
      <c r="E42" s="90" t="s">
        <v>399</v>
      </c>
    </row>
    <row r="43" customFormat="false" ht="16.5" hidden="false" customHeight="true" outlineLevel="0" collapsed="false">
      <c r="A43" s="85" t="s">
        <v>45</v>
      </c>
      <c r="B43" s="87" t="n">
        <v>4297</v>
      </c>
      <c r="C43" s="123" t="n">
        <v>0.14</v>
      </c>
      <c r="D43" s="123" t="s">
        <v>53</v>
      </c>
      <c r="E43" s="86" t="s">
        <v>400</v>
      </c>
    </row>
    <row r="44" customFormat="false" ht="16.5" hidden="false" customHeight="true" outlineLevel="0" collapsed="false">
      <c r="A44" s="81" t="s">
        <v>46</v>
      </c>
      <c r="B44" s="83" t="n">
        <v>4915</v>
      </c>
      <c r="C44" s="122" t="n">
        <v>0.144</v>
      </c>
      <c r="D44" s="122" t="s">
        <v>53</v>
      </c>
      <c r="E44" s="82" t="s">
        <v>401</v>
      </c>
    </row>
    <row r="45" customFormat="false" ht="16.5" hidden="false" customHeight="true" outlineLevel="0" collapsed="false">
      <c r="A45" s="85" t="s">
        <v>47</v>
      </c>
      <c r="B45" s="87" t="n">
        <v>5613</v>
      </c>
      <c r="C45" s="123" t="n">
        <v>0.142</v>
      </c>
      <c r="D45" s="123" t="s">
        <v>53</v>
      </c>
      <c r="E45" s="86" t="s">
        <v>402</v>
      </c>
    </row>
    <row r="46" customFormat="false" ht="16.5" hidden="false" customHeight="true" outlineLevel="0" collapsed="false">
      <c r="A46" s="81" t="s">
        <v>48</v>
      </c>
      <c r="B46" s="83" t="n">
        <v>6287</v>
      </c>
      <c r="C46" s="122" t="n">
        <v>0.119</v>
      </c>
      <c r="D46" s="122" t="s">
        <v>53</v>
      </c>
      <c r="E46" s="82" t="s">
        <v>403</v>
      </c>
    </row>
    <row r="47" customFormat="false" ht="16.5" hidden="false" customHeight="true" outlineLevel="0" collapsed="false">
      <c r="A47" s="85" t="s">
        <v>49</v>
      </c>
      <c r="B47" s="87" t="n">
        <v>6916</v>
      </c>
      <c r="C47" s="123" t="n">
        <v>0.1</v>
      </c>
      <c r="D47" s="123" t="n">
        <v>0.247</v>
      </c>
      <c r="E47" s="86" t="s">
        <v>404</v>
      </c>
    </row>
  </sheetData>
  <mergeCells count="6">
    <mergeCell ref="A1:K1"/>
    <mergeCell ref="A4:K4"/>
    <mergeCell ref="A10:K10"/>
    <mergeCell ref="A19:K19"/>
    <mergeCell ref="A28:K28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11" min="2" style="1" width="13"/>
  </cols>
  <sheetData>
    <row r="1" customFormat="false" ht="30" hidden="false" customHeight="true" outlineLevel="0" collapsed="false">
      <c r="A1" s="19" t="s">
        <v>405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customFormat="false" ht="6" hidden="false" customHeight="true" outlineLevel="0" collapsed="false"/>
    <row r="3" customFormat="false" ht="19.5" hidden="false" customHeight="true" outlineLevel="0" collapsed="false">
      <c r="A3" s="20" t="s">
        <v>39</v>
      </c>
      <c r="B3" s="21" t="s">
        <v>40</v>
      </c>
      <c r="C3" s="21" t="s">
        <v>41</v>
      </c>
      <c r="D3" s="21" t="s">
        <v>42</v>
      </c>
      <c r="E3" s="21" t="s">
        <v>43</v>
      </c>
      <c r="F3" s="22" t="s">
        <v>44</v>
      </c>
      <c r="G3" s="23" t="s">
        <v>45</v>
      </c>
      <c r="H3" s="23" t="s">
        <v>46</v>
      </c>
      <c r="I3" s="23" t="s">
        <v>47</v>
      </c>
      <c r="J3" s="23" t="s">
        <v>48</v>
      </c>
      <c r="K3" s="23" t="s">
        <v>49</v>
      </c>
    </row>
    <row r="4" customFormat="false" ht="18" hidden="false" customHeight="true" outlineLevel="0" collapsed="false">
      <c r="A4" s="24" t="s">
        <v>406</v>
      </c>
      <c r="B4" s="24"/>
      <c r="C4" s="24"/>
      <c r="D4" s="24"/>
      <c r="E4" s="24"/>
      <c r="F4" s="24"/>
      <c r="G4" s="24"/>
      <c r="H4" s="24"/>
      <c r="I4" s="24"/>
      <c r="J4" s="24"/>
      <c r="K4" s="24"/>
    </row>
    <row r="5" customFormat="false" ht="19.5" hidden="false" customHeight="true" outlineLevel="0" collapsed="false">
      <c r="A5" s="21" t="s">
        <v>407</v>
      </c>
      <c r="B5" s="21" t="s">
        <v>40</v>
      </c>
      <c r="C5" s="21" t="s">
        <v>41</v>
      </c>
      <c r="D5" s="21" t="s">
        <v>42</v>
      </c>
      <c r="E5" s="21" t="s">
        <v>43</v>
      </c>
      <c r="F5" s="22" t="s">
        <v>44</v>
      </c>
      <c r="G5" s="23" t="s">
        <v>45</v>
      </c>
      <c r="H5" s="23" t="s">
        <v>46</v>
      </c>
      <c r="I5" s="23" t="s">
        <v>47</v>
      </c>
      <c r="J5" s="23" t="s">
        <v>48</v>
      </c>
      <c r="K5" s="23" t="s">
        <v>49</v>
      </c>
    </row>
    <row r="6" customFormat="false" ht="16.5" hidden="false" customHeight="true" outlineLevel="0" collapsed="false">
      <c r="A6" s="28" t="s">
        <v>103</v>
      </c>
      <c r="B6" s="118" t="n">
        <v>550</v>
      </c>
      <c r="C6" s="118" t="n">
        <v>1055</v>
      </c>
      <c r="D6" s="118" t="n">
        <v>1280</v>
      </c>
      <c r="E6" s="118" t="n">
        <v>1540</v>
      </c>
      <c r="F6" s="118" t="n">
        <v>1980</v>
      </c>
      <c r="G6" s="48" t="n">
        <v>2214</v>
      </c>
      <c r="H6" s="48" t="n">
        <v>2499</v>
      </c>
      <c r="I6" s="48" t="n">
        <v>2787</v>
      </c>
      <c r="J6" s="48" t="n">
        <v>3068</v>
      </c>
      <c r="K6" s="48" t="n">
        <v>3269</v>
      </c>
    </row>
    <row r="7" customFormat="false" ht="16.5" hidden="false" customHeight="true" outlineLevel="0" collapsed="false">
      <c r="A7" s="28" t="s">
        <v>104</v>
      </c>
      <c r="B7" s="118" t="n">
        <v>50</v>
      </c>
      <c r="C7" s="118" t="n">
        <v>72</v>
      </c>
      <c r="D7" s="118" t="n">
        <v>90</v>
      </c>
      <c r="E7" s="118" t="n">
        <v>102</v>
      </c>
      <c r="F7" s="118" t="n">
        <v>125</v>
      </c>
      <c r="G7" s="48" t="n">
        <v>135</v>
      </c>
      <c r="H7" s="48" t="n">
        <v>152</v>
      </c>
      <c r="I7" s="48" t="n">
        <v>175</v>
      </c>
      <c r="J7" s="48" t="n">
        <v>200</v>
      </c>
      <c r="K7" s="48" t="n">
        <v>225</v>
      </c>
    </row>
    <row r="8" customFormat="false" ht="16.5" hidden="false" customHeight="true" outlineLevel="0" collapsed="false">
      <c r="A8" s="25" t="s">
        <v>408</v>
      </c>
      <c r="B8" s="119" t="n">
        <v>600</v>
      </c>
      <c r="C8" s="119" t="n">
        <v>1127</v>
      </c>
      <c r="D8" s="119" t="n">
        <v>1370</v>
      </c>
      <c r="E8" s="119" t="n">
        <v>1642</v>
      </c>
      <c r="F8" s="119" t="n">
        <v>2105</v>
      </c>
      <c r="G8" s="27" t="n">
        <v>2349</v>
      </c>
      <c r="H8" s="27" t="n">
        <v>2651</v>
      </c>
      <c r="I8" s="27" t="n">
        <v>2962</v>
      </c>
      <c r="J8" s="27" t="n">
        <v>3268</v>
      </c>
      <c r="K8" s="27" t="n">
        <v>3494</v>
      </c>
    </row>
    <row r="9" customFormat="false" ht="16.5" hidden="false" customHeight="true" outlineLevel="0" collapsed="false">
      <c r="A9" s="28" t="s">
        <v>409</v>
      </c>
      <c r="B9" s="47" t="n">
        <v>0.631578947368421</v>
      </c>
      <c r="C9" s="47" t="n">
        <v>0.613500272182907</v>
      </c>
      <c r="D9" s="47" t="n">
        <v>0.599300087489064</v>
      </c>
      <c r="E9" s="47" t="n">
        <v>0.576950105411103</v>
      </c>
      <c r="F9" s="47" t="n">
        <v>0.55850358185195</v>
      </c>
      <c r="G9" s="47" t="n">
        <v>0.546660460786595</v>
      </c>
      <c r="H9" s="47" t="n">
        <v>0.539369277721261</v>
      </c>
      <c r="I9" s="47" t="n">
        <v>0.527703545341172</v>
      </c>
      <c r="J9" s="47" t="n">
        <v>0.519802767615715</v>
      </c>
      <c r="K9" s="47" t="n">
        <v>0.505205320994795</v>
      </c>
    </row>
    <row r="10" customFormat="false" ht="16.5" hidden="false" customHeight="true" outlineLevel="0" collapsed="false">
      <c r="A10" s="28" t="s">
        <v>410</v>
      </c>
      <c r="B10" s="47" t="n">
        <v>0.578947368421053</v>
      </c>
      <c r="C10" s="47" t="n">
        <v>0.574305933587371</v>
      </c>
      <c r="D10" s="47" t="n">
        <v>0.559930008748906</v>
      </c>
      <c r="E10" s="47" t="n">
        <v>0.541110330288124</v>
      </c>
      <c r="F10" s="47" t="n">
        <v>0.525338286017511</v>
      </c>
      <c r="G10" s="47" t="n">
        <v>0.515243192925297</v>
      </c>
      <c r="H10" s="47" t="n">
        <v>0.508443540183113</v>
      </c>
      <c r="I10" s="47" t="n">
        <v>0.496525921966863</v>
      </c>
      <c r="J10" s="47" t="n">
        <v>0.487991092731032</v>
      </c>
      <c r="K10" s="47" t="n">
        <v>0.472672064777328</v>
      </c>
    </row>
    <row r="11" customFormat="false" ht="16.5" hidden="false" customHeight="true" outlineLevel="0" collapsed="false">
      <c r="A11" s="28" t="s">
        <v>411</v>
      </c>
      <c r="B11" s="47" t="n">
        <v>0.0526315789473684</v>
      </c>
      <c r="C11" s="47" t="n">
        <v>0.0391943385955362</v>
      </c>
      <c r="D11" s="47" t="n">
        <v>0.0393700787401575</v>
      </c>
      <c r="E11" s="47" t="n">
        <v>0.0358397751229796</v>
      </c>
      <c r="F11" s="47" t="n">
        <v>0.0331652958344388</v>
      </c>
      <c r="G11" s="47" t="n">
        <v>0.0314172678612986</v>
      </c>
      <c r="H11" s="47" t="n">
        <v>0.0309257375381485</v>
      </c>
      <c r="I11" s="47" t="n">
        <v>0.0311776233743096</v>
      </c>
      <c r="J11" s="47" t="n">
        <v>0.0318116748846827</v>
      </c>
      <c r="K11" s="47" t="n">
        <v>0.0325332562174667</v>
      </c>
    </row>
    <row r="13" customFormat="false" ht="18" hidden="false" customHeight="true" outlineLevel="0" collapsed="false">
      <c r="A13" s="24" t="s">
        <v>412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</row>
    <row r="14" customFormat="false" ht="19.5" hidden="false" customHeight="true" outlineLevel="0" collapsed="false">
      <c r="A14" s="21" t="s">
        <v>413</v>
      </c>
      <c r="B14" s="21" t="s">
        <v>40</v>
      </c>
      <c r="C14" s="21" t="s">
        <v>41</v>
      </c>
      <c r="D14" s="21" t="s">
        <v>42</v>
      </c>
      <c r="E14" s="21" t="s">
        <v>43</v>
      </c>
      <c r="F14" s="22" t="s">
        <v>44</v>
      </c>
      <c r="G14" s="23" t="s">
        <v>45</v>
      </c>
      <c r="H14" s="23" t="s">
        <v>46</v>
      </c>
      <c r="I14" s="23" t="s">
        <v>47</v>
      </c>
      <c r="J14" s="23" t="s">
        <v>48</v>
      </c>
      <c r="K14" s="23" t="s">
        <v>49</v>
      </c>
    </row>
    <row r="15" customFormat="false" ht="16.5" hidden="false" customHeight="true" outlineLevel="0" collapsed="false">
      <c r="A15" s="28" t="s">
        <v>414</v>
      </c>
      <c r="B15" s="118" t="n">
        <v>190</v>
      </c>
      <c r="C15" s="118" t="n">
        <v>370</v>
      </c>
      <c r="D15" s="118" t="n">
        <v>465</v>
      </c>
      <c r="E15" s="118" t="n">
        <v>565</v>
      </c>
      <c r="F15" s="118" t="n">
        <v>682</v>
      </c>
      <c r="G15" s="48" t="n">
        <v>720</v>
      </c>
      <c r="H15" s="48" t="n">
        <v>795</v>
      </c>
      <c r="I15" s="48" t="n">
        <v>860</v>
      </c>
      <c r="J15" s="48" t="n">
        <v>920</v>
      </c>
      <c r="K15" s="48" t="n">
        <v>980</v>
      </c>
    </row>
    <row r="16" customFormat="false" ht="16.5" hidden="false" customHeight="true" outlineLevel="0" collapsed="false">
      <c r="A16" s="28" t="s">
        <v>415</v>
      </c>
      <c r="B16" s="47" t="n">
        <v>0.2</v>
      </c>
      <c r="C16" s="47" t="n">
        <v>0.20141535111595</v>
      </c>
      <c r="D16" s="47" t="n">
        <v>0.203412073490814</v>
      </c>
      <c r="E16" s="47" t="n">
        <v>0.19852424455376</v>
      </c>
      <c r="F16" s="47" t="n">
        <v>0.180949854072698</v>
      </c>
      <c r="G16" s="47" t="n">
        <v>0.167558761926926</v>
      </c>
      <c r="H16" s="47" t="n">
        <v>0.161749745676501</v>
      </c>
      <c r="I16" s="47" t="n">
        <v>0.15321574915375</v>
      </c>
      <c r="J16" s="47" t="n">
        <v>0.14633370446954</v>
      </c>
      <c r="K16" s="47" t="n">
        <v>0.1417004048583</v>
      </c>
    </row>
    <row r="17" customFormat="false" ht="16.5" hidden="false" customHeight="true" outlineLevel="0" collapsed="false">
      <c r="A17" s="28" t="s">
        <v>416</v>
      </c>
      <c r="B17" s="118" t="n">
        <v>60</v>
      </c>
      <c r="C17" s="118" t="n">
        <v>98</v>
      </c>
      <c r="D17" s="118" t="n">
        <v>112</v>
      </c>
      <c r="E17" s="118" t="n">
        <v>129</v>
      </c>
      <c r="F17" s="118" t="n">
        <v>152</v>
      </c>
      <c r="G17" s="48" t="n">
        <v>170</v>
      </c>
      <c r="H17" s="48" t="n">
        <v>185</v>
      </c>
      <c r="I17" s="48" t="n">
        <v>210</v>
      </c>
      <c r="J17" s="48" t="n">
        <v>235</v>
      </c>
      <c r="K17" s="48" t="n">
        <v>260</v>
      </c>
    </row>
    <row r="18" customFormat="false" ht="16.5" hidden="false" customHeight="true" outlineLevel="0" collapsed="false">
      <c r="A18" s="28" t="s">
        <v>417</v>
      </c>
      <c r="B18" s="47" t="n">
        <v>0.0631578947368421</v>
      </c>
      <c r="C18" s="47" t="n">
        <v>0.0533478497550354</v>
      </c>
      <c r="D18" s="47" t="n">
        <v>0.0489938757655293</v>
      </c>
      <c r="E18" s="47" t="n">
        <v>0.0453267744202389</v>
      </c>
      <c r="F18" s="47" t="n">
        <v>0.0403289997346776</v>
      </c>
      <c r="G18" s="47" t="n">
        <v>0.0395624854549686</v>
      </c>
      <c r="H18" s="47" t="n">
        <v>0.0376398779247203</v>
      </c>
      <c r="I18" s="47" t="n">
        <v>0.0374131480491716</v>
      </c>
      <c r="J18" s="47" t="n">
        <v>0.0373787179895022</v>
      </c>
      <c r="K18" s="47" t="n">
        <v>0.037593984962406</v>
      </c>
    </row>
    <row r="19" customFormat="false" ht="16.5" hidden="false" customHeight="true" outlineLevel="0" collapsed="false">
      <c r="A19" s="28" t="s">
        <v>418</v>
      </c>
      <c r="B19" s="118" t="n">
        <v>52</v>
      </c>
      <c r="C19" s="118" t="n">
        <v>99</v>
      </c>
      <c r="D19" s="118" t="n">
        <v>140</v>
      </c>
      <c r="E19" s="118" t="n">
        <v>178</v>
      </c>
      <c r="F19" s="118" t="n">
        <v>219</v>
      </c>
      <c r="G19" s="48" t="n">
        <v>245</v>
      </c>
      <c r="H19" s="48" t="n">
        <v>263</v>
      </c>
      <c r="I19" s="48" t="n">
        <v>280</v>
      </c>
      <c r="J19" s="48" t="n">
        <v>300</v>
      </c>
      <c r="K19" s="48" t="n">
        <v>320</v>
      </c>
    </row>
    <row r="20" customFormat="false" ht="16.5" hidden="false" customHeight="true" outlineLevel="0" collapsed="false">
      <c r="A20" s="28" t="s">
        <v>419</v>
      </c>
      <c r="B20" s="47" t="n">
        <v>0.0547368421052632</v>
      </c>
      <c r="C20" s="47" t="n">
        <v>0.0538922155688623</v>
      </c>
      <c r="D20" s="47" t="n">
        <v>0.0612423447069116</v>
      </c>
      <c r="E20" s="47" t="n">
        <v>0.0625439212930429</v>
      </c>
      <c r="F20" s="47" t="n">
        <v>0.0581055983019369</v>
      </c>
      <c r="G20" s="47" t="n">
        <v>0.05701652315569</v>
      </c>
      <c r="H20" s="47" t="n">
        <v>0.0535096642929807</v>
      </c>
      <c r="I20" s="47" t="n">
        <v>0.0498841973988954</v>
      </c>
      <c r="J20" s="47" t="n">
        <v>0.047717512327024</v>
      </c>
      <c r="K20" s="47" t="n">
        <v>0.0462695199537305</v>
      </c>
    </row>
    <row r="21" customFormat="false" ht="16.5" hidden="false" customHeight="true" outlineLevel="0" collapsed="false">
      <c r="A21" s="25" t="s">
        <v>420</v>
      </c>
      <c r="B21" s="119" t="n">
        <v>302</v>
      </c>
      <c r="C21" s="119" t="n">
        <v>567</v>
      </c>
      <c r="D21" s="119" t="n">
        <v>717</v>
      </c>
      <c r="E21" s="119" t="n">
        <v>872</v>
      </c>
      <c r="F21" s="119" t="n">
        <v>1053</v>
      </c>
      <c r="G21" s="27" t="n">
        <v>1135</v>
      </c>
      <c r="H21" s="27" t="n">
        <v>1243</v>
      </c>
      <c r="I21" s="27" t="n">
        <v>1350</v>
      </c>
      <c r="J21" s="27" t="n">
        <v>1455</v>
      </c>
      <c r="K21" s="27" t="n">
        <v>1560</v>
      </c>
    </row>
    <row r="22" customFormat="false" ht="16.5" hidden="false" customHeight="true" outlineLevel="0" collapsed="false">
      <c r="A22" s="28" t="s">
        <v>421</v>
      </c>
      <c r="B22" s="47" t="n">
        <v>0.317894736842105</v>
      </c>
      <c r="C22" s="47" t="n">
        <v>0.308655416439848</v>
      </c>
      <c r="D22" s="47" t="n">
        <v>0.313648293963255</v>
      </c>
      <c r="E22" s="47" t="n">
        <v>0.306394940267041</v>
      </c>
      <c r="F22" s="47" t="n">
        <v>0.279384452109313</v>
      </c>
      <c r="G22" s="47" t="n">
        <v>0.264137770537584</v>
      </c>
      <c r="H22" s="47" t="n">
        <v>0.252899287894201</v>
      </c>
      <c r="I22" s="47" t="n">
        <v>0.240513094601817</v>
      </c>
      <c r="J22" s="47" t="n">
        <v>0.231429934786067</v>
      </c>
      <c r="K22" s="47" t="n">
        <v>0.225563909774436</v>
      </c>
    </row>
    <row r="24" customFormat="false" ht="18" hidden="false" customHeight="true" outlineLevel="0" collapsed="false">
      <c r="A24" s="24" t="s">
        <v>422</v>
      </c>
      <c r="B24" s="24"/>
      <c r="C24" s="24"/>
      <c r="D24" s="24"/>
      <c r="E24" s="24"/>
      <c r="F24" s="24"/>
      <c r="G24" s="24"/>
      <c r="H24" s="24"/>
      <c r="I24" s="24"/>
      <c r="J24" s="24"/>
      <c r="K24" s="24"/>
    </row>
    <row r="25" customFormat="false" ht="19.5" hidden="false" customHeight="true" outlineLevel="0" collapsed="false">
      <c r="A25" s="21" t="s">
        <v>423</v>
      </c>
      <c r="B25" s="21" t="s">
        <v>40</v>
      </c>
      <c r="C25" s="21" t="s">
        <v>41</v>
      </c>
      <c r="D25" s="21" t="s">
        <v>42</v>
      </c>
      <c r="E25" s="21" t="s">
        <v>43</v>
      </c>
      <c r="F25" s="22" t="s">
        <v>44</v>
      </c>
      <c r="G25" s="23" t="s">
        <v>45</v>
      </c>
      <c r="H25" s="23" t="s">
        <v>46</v>
      </c>
      <c r="I25" s="23" t="s">
        <v>47</v>
      </c>
      <c r="J25" s="23" t="s">
        <v>48</v>
      </c>
      <c r="K25" s="23" t="s">
        <v>49</v>
      </c>
    </row>
    <row r="26" customFormat="false" ht="16.5" hidden="false" customHeight="true" outlineLevel="0" collapsed="false">
      <c r="A26" s="58" t="s">
        <v>424</v>
      </c>
      <c r="B26" s="125" t="n">
        <v>1</v>
      </c>
      <c r="C26" s="125" t="n">
        <v>1</v>
      </c>
      <c r="D26" s="125" t="n">
        <v>1</v>
      </c>
      <c r="E26" s="125" t="n">
        <v>1</v>
      </c>
      <c r="F26" s="125" t="n">
        <v>1</v>
      </c>
      <c r="G26" s="125" t="n">
        <v>1</v>
      </c>
      <c r="H26" s="125" t="n">
        <v>1</v>
      </c>
      <c r="I26" s="125" t="n">
        <v>1</v>
      </c>
      <c r="J26" s="125" t="n">
        <v>1</v>
      </c>
      <c r="K26" s="125" t="n">
        <v>1</v>
      </c>
    </row>
    <row r="27" customFormat="false" ht="16.5" hidden="false" customHeight="true" outlineLevel="0" collapsed="false">
      <c r="A27" s="28" t="s">
        <v>425</v>
      </c>
      <c r="B27" s="47" t="n">
        <v>0.578947368421053</v>
      </c>
      <c r="C27" s="47" t="n">
        <v>0.574305933587371</v>
      </c>
      <c r="D27" s="47" t="n">
        <v>0.559930008748906</v>
      </c>
      <c r="E27" s="47" t="n">
        <v>0.541110330288124</v>
      </c>
      <c r="F27" s="47" t="n">
        <v>0.525338286017511</v>
      </c>
      <c r="G27" s="47" t="n">
        <v>0.515243192925297</v>
      </c>
      <c r="H27" s="47" t="n">
        <v>0.508443540183113</v>
      </c>
      <c r="I27" s="47" t="n">
        <v>0.496525921966863</v>
      </c>
      <c r="J27" s="47" t="n">
        <v>0.487991092731032</v>
      </c>
      <c r="K27" s="47" t="n">
        <v>0.472672064777328</v>
      </c>
    </row>
    <row r="28" customFormat="false" ht="16.5" hidden="false" customHeight="true" outlineLevel="0" collapsed="false">
      <c r="A28" s="28" t="s">
        <v>426</v>
      </c>
      <c r="B28" s="47" t="n">
        <v>0.0526315789473684</v>
      </c>
      <c r="C28" s="47" t="n">
        <v>0.0391943385955362</v>
      </c>
      <c r="D28" s="47" t="n">
        <v>0.0393700787401575</v>
      </c>
      <c r="E28" s="47" t="n">
        <v>0.0358397751229796</v>
      </c>
      <c r="F28" s="47" t="n">
        <v>0.0331652958344388</v>
      </c>
      <c r="G28" s="47" t="n">
        <v>0.0314172678612986</v>
      </c>
      <c r="H28" s="47" t="n">
        <v>0.0309257375381485</v>
      </c>
      <c r="I28" s="47" t="n">
        <v>0.0311776233743096</v>
      </c>
      <c r="J28" s="47" t="n">
        <v>0.0318116748846827</v>
      </c>
      <c r="K28" s="47" t="n">
        <v>0.0325332562174667</v>
      </c>
    </row>
    <row r="29" customFormat="false" ht="16.5" hidden="false" customHeight="true" outlineLevel="0" collapsed="false">
      <c r="A29" s="25" t="s">
        <v>427</v>
      </c>
      <c r="B29" s="126" t="n">
        <v>0.497894736842105</v>
      </c>
      <c r="C29" s="126" t="n">
        <v>0.281437125748503</v>
      </c>
      <c r="D29" s="126" t="n">
        <v>0.297900262467192</v>
      </c>
      <c r="E29" s="126" t="n">
        <v>0.320098383696416</v>
      </c>
      <c r="F29" s="126" t="n">
        <v>0.397983550013266</v>
      </c>
      <c r="G29" s="126" t="n">
        <v>0.410053525715616</v>
      </c>
      <c r="H29" s="126" t="n">
        <v>0.419938962360122</v>
      </c>
      <c r="I29" s="126" t="n">
        <v>0.42508462497773</v>
      </c>
      <c r="J29" s="126" t="n">
        <v>0.429934786066486</v>
      </c>
      <c r="K29" s="126" t="n">
        <v>0.430017351069983</v>
      </c>
    </row>
    <row r="30" customFormat="false" ht="16.5" hidden="false" customHeight="true" outlineLevel="0" collapsed="false">
      <c r="A30" s="28" t="s">
        <v>428</v>
      </c>
      <c r="B30" s="47" t="n">
        <v>0.2</v>
      </c>
      <c r="C30" s="47" t="n">
        <v>0.20141535111595</v>
      </c>
      <c r="D30" s="47" t="n">
        <v>0.203412073490814</v>
      </c>
      <c r="E30" s="47" t="n">
        <v>0.19852424455376</v>
      </c>
      <c r="F30" s="47" t="n">
        <v>0.180949854072698</v>
      </c>
      <c r="G30" s="47" t="n">
        <v>0.167558761926926</v>
      </c>
      <c r="H30" s="47" t="n">
        <v>0.161749745676501</v>
      </c>
      <c r="I30" s="47" t="n">
        <v>0.15321574915375</v>
      </c>
      <c r="J30" s="47" t="n">
        <v>0.14633370446954</v>
      </c>
      <c r="K30" s="47" t="n">
        <v>0.1417004048583</v>
      </c>
    </row>
    <row r="31" customFormat="false" ht="16.5" hidden="false" customHeight="true" outlineLevel="0" collapsed="false">
      <c r="A31" s="28" t="s">
        <v>429</v>
      </c>
      <c r="B31" s="47" t="n">
        <v>0.0631578947368421</v>
      </c>
      <c r="C31" s="47" t="n">
        <v>0.0533478497550354</v>
      </c>
      <c r="D31" s="47" t="n">
        <v>0.0489938757655293</v>
      </c>
      <c r="E31" s="47" t="n">
        <v>0.0453267744202389</v>
      </c>
      <c r="F31" s="47" t="n">
        <v>0.0403289997346776</v>
      </c>
      <c r="G31" s="47" t="n">
        <v>0.0395624854549686</v>
      </c>
      <c r="H31" s="47" t="n">
        <v>0.0376398779247203</v>
      </c>
      <c r="I31" s="47" t="n">
        <v>0.0374131480491716</v>
      </c>
      <c r="J31" s="47" t="n">
        <v>0.0373787179895022</v>
      </c>
      <c r="K31" s="47" t="n">
        <v>0.037593984962406</v>
      </c>
    </row>
    <row r="32" customFormat="false" ht="16.5" hidden="false" customHeight="true" outlineLevel="0" collapsed="false">
      <c r="A32" s="28" t="s">
        <v>430</v>
      </c>
      <c r="B32" s="47" t="n">
        <v>0.0547368421052632</v>
      </c>
      <c r="C32" s="47" t="n">
        <v>0.0538922155688623</v>
      </c>
      <c r="D32" s="47" t="n">
        <v>0.0612423447069116</v>
      </c>
      <c r="E32" s="47" t="n">
        <v>0.0625439212930429</v>
      </c>
      <c r="F32" s="47" t="n">
        <v>0.0581055983019369</v>
      </c>
      <c r="G32" s="47" t="n">
        <v>0.05701652315569</v>
      </c>
      <c r="H32" s="47" t="n">
        <v>0.0535096642929807</v>
      </c>
      <c r="I32" s="47" t="n">
        <v>0.0498841973988954</v>
      </c>
      <c r="J32" s="47" t="n">
        <v>0.047717512327024</v>
      </c>
      <c r="K32" s="47" t="n">
        <v>0.0462695199537305</v>
      </c>
    </row>
    <row r="33" customFormat="false" ht="16.5" hidden="false" customHeight="true" outlineLevel="0" collapsed="false">
      <c r="A33" s="25" t="s">
        <v>431</v>
      </c>
      <c r="B33" s="126" t="n">
        <v>0.497894736842105</v>
      </c>
      <c r="C33" s="126" t="n">
        <v>0.281437125748503</v>
      </c>
      <c r="D33" s="126" t="n">
        <v>0.297900262467192</v>
      </c>
      <c r="E33" s="126" t="n">
        <v>0.320098383696416</v>
      </c>
      <c r="F33" s="126" t="n">
        <v>0.397983550013266</v>
      </c>
      <c r="G33" s="126" t="n">
        <v>0.410053525715616</v>
      </c>
      <c r="H33" s="126" t="n">
        <v>0.419938962360122</v>
      </c>
      <c r="I33" s="126" t="n">
        <v>0.42508462497773</v>
      </c>
      <c r="J33" s="126" t="n">
        <v>0.429934786066486</v>
      </c>
      <c r="K33" s="126" t="n">
        <v>0.430017351069983</v>
      </c>
    </row>
    <row r="34" customFormat="false" ht="16.5" hidden="false" customHeight="true" outlineLevel="0" collapsed="false">
      <c r="A34" s="28" t="s">
        <v>432</v>
      </c>
      <c r="B34" s="47" t="n">
        <v>0.482105263157895</v>
      </c>
      <c r="C34" s="47" t="n">
        <v>0.253674469243332</v>
      </c>
      <c r="D34" s="47" t="n">
        <v>0.259842519685039</v>
      </c>
      <c r="E34" s="47" t="n">
        <v>0.249824314827829</v>
      </c>
      <c r="F34" s="47" t="n">
        <v>0.299814274343327</v>
      </c>
      <c r="G34" s="47" t="n">
        <v>0.299976727949732</v>
      </c>
      <c r="H34" s="47" t="n">
        <v>0.29501525940997</v>
      </c>
      <c r="I34" s="47" t="n">
        <v>0.290040976305006</v>
      </c>
      <c r="J34" s="47" t="n">
        <v>0.284873548592333</v>
      </c>
      <c r="K34" s="47" t="n">
        <v>0.280075187969925</v>
      </c>
    </row>
    <row r="35" customFormat="false" ht="16.5" hidden="false" customHeight="true" outlineLevel="0" collapsed="false">
      <c r="A35" s="25" t="s">
        <v>433</v>
      </c>
      <c r="B35" s="126" t="n">
        <v>0.0157894736842105</v>
      </c>
      <c r="C35" s="126" t="n">
        <v>0.0277626565051715</v>
      </c>
      <c r="D35" s="126" t="n">
        <v>0.0380577427821522</v>
      </c>
      <c r="E35" s="126" t="n">
        <v>0.0702740688685875</v>
      </c>
      <c r="F35" s="126" t="n">
        <v>0.098169275669939</v>
      </c>
      <c r="G35" s="126" t="n">
        <v>0.110076797765883</v>
      </c>
      <c r="H35" s="126" t="n">
        <v>0.124923702950153</v>
      </c>
      <c r="I35" s="126" t="n">
        <v>0.135043648672724</v>
      </c>
      <c r="J35" s="126" t="n">
        <v>0.145061237474153</v>
      </c>
      <c r="K35" s="126" t="n">
        <v>0.149942163100058</v>
      </c>
    </row>
    <row r="36" customFormat="false" ht="16.5" hidden="false" customHeight="true" outlineLevel="0" collapsed="false">
      <c r="A36" s="28" t="s">
        <v>434</v>
      </c>
      <c r="B36" s="47" t="n">
        <v>0.00315789473684211</v>
      </c>
      <c r="C36" s="47" t="n">
        <v>0.0168753402286336</v>
      </c>
      <c r="D36" s="47" t="n">
        <v>0.0227471566054243</v>
      </c>
      <c r="E36" s="47" t="n">
        <v>0.0520028109627547</v>
      </c>
      <c r="F36" s="47" t="n">
        <v>0.0756168745025206</v>
      </c>
      <c r="G36" s="47" t="n">
        <v>0.0274610193158017</v>
      </c>
      <c r="H36" s="47" t="n">
        <v>0.0311291963377416</v>
      </c>
      <c r="I36" s="47" t="n">
        <v>0.0338499910921076</v>
      </c>
      <c r="J36" s="47" t="n">
        <v>0.0362653093685383</v>
      </c>
      <c r="K36" s="47" t="n">
        <v>0.0374493927125506</v>
      </c>
    </row>
    <row r="37" customFormat="false" ht="16.5" hidden="false" customHeight="true" outlineLevel="0" collapsed="false">
      <c r="A37" s="43" t="s">
        <v>435</v>
      </c>
      <c r="B37" s="127" t="n">
        <v>0.0126315789473684</v>
      </c>
      <c r="C37" s="127" t="n">
        <v>0.0108873162765378</v>
      </c>
      <c r="D37" s="127" t="n">
        <v>0.0153105861767279</v>
      </c>
      <c r="E37" s="127" t="n">
        <v>0.0182712579058328</v>
      </c>
      <c r="F37" s="127" t="n">
        <v>0.0225524011674184</v>
      </c>
      <c r="G37" s="127" t="n">
        <v>0.0826157784500815</v>
      </c>
      <c r="H37" s="127" t="n">
        <v>0.093794506612411</v>
      </c>
      <c r="I37" s="127" t="n">
        <v>0.101193657580616</v>
      </c>
      <c r="J37" s="127" t="n">
        <v>0.108795928105615</v>
      </c>
      <c r="K37" s="127" t="n">
        <v>0.112492770387507</v>
      </c>
    </row>
    <row r="39" customFormat="false" ht="18" hidden="false" customHeight="true" outlineLevel="0" collapsed="false">
      <c r="A39" s="24" t="s">
        <v>436</v>
      </c>
      <c r="B39" s="24"/>
      <c r="C39" s="24"/>
      <c r="D39" s="24"/>
      <c r="E39" s="24"/>
      <c r="F39" s="24"/>
      <c r="G39" s="24"/>
    </row>
    <row r="40" customFormat="false" ht="21.75" hidden="false" customHeight="true" outlineLevel="0" collapsed="false">
      <c r="A40" s="21" t="s">
        <v>437</v>
      </c>
      <c r="B40" s="21" t="s">
        <v>438</v>
      </c>
      <c r="C40" s="21" t="s">
        <v>439</v>
      </c>
      <c r="D40" s="21" t="s">
        <v>440</v>
      </c>
      <c r="E40" s="21" t="s">
        <v>441</v>
      </c>
      <c r="F40" s="21" t="s">
        <v>442</v>
      </c>
    </row>
    <row r="41" customFormat="false" ht="16.5" hidden="false" customHeight="true" outlineLevel="0" collapsed="false">
      <c r="A41" s="92" t="s">
        <v>40</v>
      </c>
      <c r="B41" s="83" t="n">
        <v>18</v>
      </c>
      <c r="C41" s="83" t="n">
        <v>6</v>
      </c>
      <c r="D41" s="122" t="n">
        <v>0.333</v>
      </c>
      <c r="E41" s="122" t="n">
        <v>0.778</v>
      </c>
      <c r="F41" s="82" t="s">
        <v>443</v>
      </c>
    </row>
    <row r="42" customFormat="false" ht="16.5" hidden="false" customHeight="true" outlineLevel="0" collapsed="false">
      <c r="A42" s="128" t="s">
        <v>41</v>
      </c>
      <c r="B42" s="129" t="n">
        <v>56</v>
      </c>
      <c r="C42" s="129" t="n">
        <v>36</v>
      </c>
      <c r="D42" s="130" t="n">
        <v>0.643</v>
      </c>
      <c r="E42" s="131" t="n">
        <v>0.778</v>
      </c>
      <c r="F42" s="132" t="s">
        <v>443</v>
      </c>
    </row>
    <row r="43" customFormat="false" ht="16.5" hidden="false" customHeight="true" outlineLevel="0" collapsed="false">
      <c r="A43" s="128" t="s">
        <v>42</v>
      </c>
      <c r="B43" s="129" t="n">
        <v>94</v>
      </c>
      <c r="C43" s="129" t="n">
        <v>59</v>
      </c>
      <c r="D43" s="130" t="n">
        <v>0.628</v>
      </c>
      <c r="E43" s="131" t="n">
        <v>0.778</v>
      </c>
      <c r="F43" s="132" t="s">
        <v>443</v>
      </c>
    </row>
    <row r="44" customFormat="false" ht="16.5" hidden="false" customHeight="true" outlineLevel="0" collapsed="false">
      <c r="A44" s="128" t="s">
        <v>43</v>
      </c>
      <c r="B44" s="129" t="n">
        <v>210</v>
      </c>
      <c r="C44" s="129" t="n">
        <v>158</v>
      </c>
      <c r="D44" s="130" t="n">
        <v>0.752</v>
      </c>
      <c r="E44" s="131" t="n">
        <v>0.778</v>
      </c>
      <c r="F44" s="132" t="s">
        <v>443</v>
      </c>
    </row>
    <row r="45" customFormat="false" ht="16.5" hidden="false" customHeight="true" outlineLevel="0" collapsed="false">
      <c r="A45" s="128" t="s">
        <v>44</v>
      </c>
      <c r="B45" s="129" t="n">
        <v>383</v>
      </c>
      <c r="C45" s="129" t="n">
        <v>298</v>
      </c>
      <c r="D45" s="130" t="n">
        <v>0.778</v>
      </c>
      <c r="E45" s="131" t="n">
        <v>0.778</v>
      </c>
      <c r="F45" s="132" t="s">
        <v>443</v>
      </c>
    </row>
    <row r="46" customFormat="false" ht="16.5" hidden="false" customHeight="true" outlineLevel="0" collapsed="false">
      <c r="A46" s="133" t="s">
        <v>45</v>
      </c>
      <c r="B46" s="72" t="n">
        <v>473</v>
      </c>
      <c r="C46" s="72" t="n">
        <v>118</v>
      </c>
      <c r="D46" s="113" t="n">
        <v>0.25</v>
      </c>
      <c r="E46" s="113" t="n">
        <v>0.25</v>
      </c>
      <c r="F46" s="105" t="s">
        <v>444</v>
      </c>
    </row>
    <row r="47" customFormat="false" ht="16.5" hidden="false" customHeight="true" outlineLevel="0" collapsed="false">
      <c r="A47" s="133" t="s">
        <v>46</v>
      </c>
      <c r="B47" s="72" t="n">
        <v>614</v>
      </c>
      <c r="C47" s="72" t="n">
        <v>153</v>
      </c>
      <c r="D47" s="113" t="n">
        <v>0.25</v>
      </c>
      <c r="E47" s="113" t="n">
        <v>0.25</v>
      </c>
      <c r="F47" s="105" t="s">
        <v>444</v>
      </c>
    </row>
    <row r="48" customFormat="false" ht="16.5" hidden="false" customHeight="true" outlineLevel="0" collapsed="false">
      <c r="A48" s="133" t="s">
        <v>47</v>
      </c>
      <c r="B48" s="72" t="n">
        <v>758</v>
      </c>
      <c r="C48" s="72" t="n">
        <v>190</v>
      </c>
      <c r="D48" s="113" t="n">
        <v>0.25</v>
      </c>
      <c r="E48" s="113" t="n">
        <v>0.25</v>
      </c>
      <c r="F48" s="105" t="s">
        <v>444</v>
      </c>
    </row>
    <row r="49" customFormat="false" ht="16.5" hidden="false" customHeight="true" outlineLevel="0" collapsed="false">
      <c r="A49" s="133" t="s">
        <v>48</v>
      </c>
      <c r="B49" s="72" t="n">
        <v>912</v>
      </c>
      <c r="C49" s="72" t="n">
        <v>228</v>
      </c>
      <c r="D49" s="113" t="n">
        <v>0.25</v>
      </c>
      <c r="E49" s="113" t="n">
        <v>0.25</v>
      </c>
      <c r="F49" s="105" t="s">
        <v>444</v>
      </c>
    </row>
    <row r="50" customFormat="false" ht="16.5" hidden="false" customHeight="true" outlineLevel="0" collapsed="false">
      <c r="A50" s="133" t="s">
        <v>49</v>
      </c>
      <c r="B50" s="72" t="n">
        <v>1037</v>
      </c>
      <c r="C50" s="72" t="n">
        <v>259</v>
      </c>
      <c r="D50" s="113" t="n">
        <v>0.25</v>
      </c>
      <c r="E50" s="113" t="n">
        <v>0.25</v>
      </c>
      <c r="F50" s="105" t="s">
        <v>444</v>
      </c>
    </row>
  </sheetData>
  <mergeCells count="5">
    <mergeCell ref="A1:K1"/>
    <mergeCell ref="A4:K4"/>
    <mergeCell ref="A13:K13"/>
    <mergeCell ref="A24:K24"/>
    <mergeCell ref="A39:G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1" min="2" style="1" width="13"/>
  </cols>
  <sheetData>
    <row r="1" customFormat="false" ht="30" hidden="false" customHeight="true" outlineLevel="0" collapsed="false">
      <c r="A1" s="19" t="s">
        <v>445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customFormat="false" ht="6" hidden="false" customHeight="true" outlineLevel="0" collapsed="false"/>
    <row r="3" customFormat="false" ht="19.5" hidden="false" customHeight="true" outlineLevel="0" collapsed="false">
      <c r="A3" s="20" t="s">
        <v>39</v>
      </c>
      <c r="B3" s="21" t="s">
        <v>40</v>
      </c>
      <c r="C3" s="21" t="s">
        <v>41</v>
      </c>
      <c r="D3" s="21" t="s">
        <v>42</v>
      </c>
      <c r="E3" s="21" t="s">
        <v>43</v>
      </c>
      <c r="F3" s="22" t="s">
        <v>44</v>
      </c>
      <c r="G3" s="23" t="s">
        <v>45</v>
      </c>
      <c r="H3" s="23" t="s">
        <v>46</v>
      </c>
      <c r="I3" s="23" t="s">
        <v>47</v>
      </c>
      <c r="J3" s="23" t="s">
        <v>48</v>
      </c>
      <c r="K3" s="23" t="s">
        <v>49</v>
      </c>
    </row>
    <row r="4" customFormat="false" ht="18" hidden="false" customHeight="true" outlineLevel="0" collapsed="false">
      <c r="A4" s="24" t="s">
        <v>446</v>
      </c>
      <c r="B4" s="24"/>
      <c r="C4" s="24"/>
      <c r="D4" s="24"/>
      <c r="E4" s="24"/>
      <c r="F4" s="24"/>
      <c r="G4" s="24"/>
      <c r="H4" s="24"/>
      <c r="I4" s="24"/>
      <c r="J4" s="24"/>
      <c r="K4" s="24"/>
    </row>
    <row r="5" customFormat="false" ht="21.75" hidden="false" customHeight="true" outlineLevel="0" collapsed="false">
      <c r="A5" s="21"/>
      <c r="B5" s="21" t="s">
        <v>447</v>
      </c>
      <c r="C5" s="21" t="s">
        <v>448</v>
      </c>
      <c r="D5" s="21" t="s">
        <v>449</v>
      </c>
      <c r="E5" s="21" t="s">
        <v>450</v>
      </c>
      <c r="F5" s="21" t="s">
        <v>451</v>
      </c>
      <c r="G5" s="21" t="s">
        <v>452</v>
      </c>
      <c r="H5" s="21" t="s">
        <v>453</v>
      </c>
    </row>
    <row r="6" customFormat="false" ht="16.5" hidden="false" customHeight="true" outlineLevel="0" collapsed="false">
      <c r="A6" s="92" t="s">
        <v>40</v>
      </c>
      <c r="B6" s="26" t="n">
        <v>140</v>
      </c>
      <c r="C6" s="26" t="n">
        <v>50</v>
      </c>
      <c r="D6" s="26" t="n">
        <v>30</v>
      </c>
      <c r="E6" s="26" t="n">
        <v>190</v>
      </c>
      <c r="F6" s="26" t="n">
        <v>60</v>
      </c>
      <c r="G6" s="26" t="n">
        <v>130</v>
      </c>
      <c r="H6" s="30" t="n">
        <v>0.0526315789473684</v>
      </c>
    </row>
    <row r="7" customFormat="false" ht="16.5" hidden="false" customHeight="true" outlineLevel="0" collapsed="false">
      <c r="A7" s="92" t="s">
        <v>41</v>
      </c>
      <c r="B7" s="26" t="n">
        <v>190</v>
      </c>
      <c r="C7" s="26" t="n">
        <v>60</v>
      </c>
      <c r="D7" s="26" t="n">
        <v>35</v>
      </c>
      <c r="E7" s="26" t="n">
        <v>250</v>
      </c>
      <c r="F7" s="26" t="n">
        <v>95</v>
      </c>
      <c r="G7" s="26" t="n">
        <v>155</v>
      </c>
      <c r="H7" s="30" t="n">
        <v>0.0326619488296135</v>
      </c>
    </row>
    <row r="8" customFormat="false" ht="16.5" hidden="false" customHeight="true" outlineLevel="0" collapsed="false">
      <c r="A8" s="92" t="s">
        <v>42</v>
      </c>
      <c r="B8" s="26" t="n">
        <v>250</v>
      </c>
      <c r="C8" s="26" t="n">
        <v>70</v>
      </c>
      <c r="D8" s="26" t="n">
        <v>40</v>
      </c>
      <c r="E8" s="26" t="n">
        <v>320</v>
      </c>
      <c r="F8" s="26" t="n">
        <v>135</v>
      </c>
      <c r="G8" s="26" t="n">
        <v>185</v>
      </c>
      <c r="H8" s="30" t="n">
        <v>0.0306211723534558</v>
      </c>
    </row>
    <row r="9" customFormat="false" ht="16.5" hidden="false" customHeight="true" outlineLevel="0" collapsed="false">
      <c r="A9" s="92" t="s">
        <v>43</v>
      </c>
      <c r="B9" s="26" t="n">
        <v>320</v>
      </c>
      <c r="C9" s="26" t="n">
        <v>80</v>
      </c>
      <c r="D9" s="26" t="n">
        <v>45</v>
      </c>
      <c r="E9" s="26" t="n">
        <v>400</v>
      </c>
      <c r="F9" s="26" t="n">
        <v>180</v>
      </c>
      <c r="G9" s="26" t="n">
        <v>220</v>
      </c>
      <c r="H9" s="30" t="n">
        <v>0.028109627547435</v>
      </c>
    </row>
    <row r="10" customFormat="false" ht="16.5" hidden="false" customHeight="true" outlineLevel="0" collapsed="false">
      <c r="A10" s="92" t="s">
        <v>44</v>
      </c>
      <c r="B10" s="26" t="n">
        <v>400</v>
      </c>
      <c r="C10" s="26" t="n">
        <v>100</v>
      </c>
      <c r="D10" s="26" t="n">
        <v>55</v>
      </c>
      <c r="E10" s="26" t="n">
        <v>500</v>
      </c>
      <c r="F10" s="26" t="n">
        <v>235</v>
      </c>
      <c r="G10" s="26" t="n">
        <v>265</v>
      </c>
      <c r="H10" s="30" t="n">
        <v>0.0265322366675511</v>
      </c>
    </row>
    <row r="11" customFormat="false" ht="16.5" hidden="false" customHeight="true" outlineLevel="0" collapsed="false">
      <c r="A11" s="133" t="s">
        <v>45</v>
      </c>
      <c r="B11" s="134" t="n">
        <v>500</v>
      </c>
      <c r="C11" s="134" t="n">
        <v>120</v>
      </c>
      <c r="D11" s="134" t="n">
        <v>60</v>
      </c>
      <c r="E11" s="134" t="n">
        <v>620</v>
      </c>
      <c r="F11" s="134" t="n">
        <v>295</v>
      </c>
      <c r="G11" s="134" t="n">
        <v>325</v>
      </c>
      <c r="H11" s="135" t="n">
        <v>0.0279264603211543</v>
      </c>
    </row>
    <row r="12" customFormat="false" ht="16.5" hidden="false" customHeight="true" outlineLevel="0" collapsed="false">
      <c r="A12" s="133" t="s">
        <v>46</v>
      </c>
      <c r="B12" s="134" t="n">
        <v>620</v>
      </c>
      <c r="C12" s="134" t="n">
        <v>140</v>
      </c>
      <c r="D12" s="134" t="n">
        <v>70</v>
      </c>
      <c r="E12" s="134" t="n">
        <v>760</v>
      </c>
      <c r="F12" s="134" t="n">
        <v>365</v>
      </c>
      <c r="G12" s="134" t="n">
        <v>395</v>
      </c>
      <c r="H12" s="135" t="n">
        <v>0.0284842319430315</v>
      </c>
    </row>
    <row r="13" customFormat="false" ht="16.5" hidden="false" customHeight="true" outlineLevel="0" collapsed="false">
      <c r="A13" s="133" t="s">
        <v>47</v>
      </c>
      <c r="B13" s="134" t="n">
        <v>760</v>
      </c>
      <c r="C13" s="134" t="n">
        <v>160</v>
      </c>
      <c r="D13" s="134" t="n">
        <v>80</v>
      </c>
      <c r="E13" s="134" t="n">
        <v>920</v>
      </c>
      <c r="F13" s="134" t="n">
        <v>445</v>
      </c>
      <c r="G13" s="134" t="n">
        <v>475</v>
      </c>
      <c r="H13" s="135" t="n">
        <v>0.0285052556565117</v>
      </c>
    </row>
    <row r="14" customFormat="false" ht="16.5" hidden="false" customHeight="true" outlineLevel="0" collapsed="false">
      <c r="A14" s="133" t="s">
        <v>48</v>
      </c>
      <c r="B14" s="134" t="n">
        <v>920</v>
      </c>
      <c r="C14" s="134" t="n">
        <v>180</v>
      </c>
      <c r="D14" s="134" t="n">
        <v>90</v>
      </c>
      <c r="E14" s="134" t="n">
        <v>1100</v>
      </c>
      <c r="F14" s="134" t="n">
        <v>535</v>
      </c>
      <c r="G14" s="134" t="n">
        <v>565</v>
      </c>
      <c r="H14" s="135" t="n">
        <v>0.0286305073962144</v>
      </c>
    </row>
    <row r="15" customFormat="false" ht="16.5" hidden="false" customHeight="true" outlineLevel="0" collapsed="false">
      <c r="A15" s="133" t="s">
        <v>49</v>
      </c>
      <c r="B15" s="134" t="n">
        <v>1100</v>
      </c>
      <c r="C15" s="134" t="n">
        <v>200</v>
      </c>
      <c r="D15" s="134" t="n">
        <v>100</v>
      </c>
      <c r="E15" s="134" t="n">
        <v>1300</v>
      </c>
      <c r="F15" s="134" t="n">
        <v>635</v>
      </c>
      <c r="G15" s="134" t="n">
        <v>665</v>
      </c>
      <c r="H15" s="135" t="n">
        <v>0.0289184499710816</v>
      </c>
    </row>
    <row r="17" customFormat="false" ht="18" hidden="false" customHeight="true" outlineLevel="0" collapsed="false">
      <c r="A17" s="24" t="s">
        <v>454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</row>
    <row r="18" customFormat="false" ht="21.75" hidden="false" customHeight="true" outlineLevel="0" collapsed="false">
      <c r="A18" s="21"/>
      <c r="B18" s="21" t="s">
        <v>455</v>
      </c>
      <c r="C18" s="21" t="s">
        <v>456</v>
      </c>
      <c r="D18" s="21" t="s">
        <v>457</v>
      </c>
      <c r="E18" s="21" t="s">
        <v>458</v>
      </c>
      <c r="F18" s="21" t="s">
        <v>459</v>
      </c>
      <c r="G18" s="21" t="s">
        <v>460</v>
      </c>
    </row>
    <row r="19" customFormat="false" ht="16.5" hidden="false" customHeight="true" outlineLevel="0" collapsed="false">
      <c r="A19" s="92" t="s">
        <v>40</v>
      </c>
      <c r="B19" s="26" t="n">
        <v>535</v>
      </c>
      <c r="C19" s="26" t="n">
        <v>500</v>
      </c>
      <c r="D19" s="26" t="n">
        <v>500</v>
      </c>
      <c r="E19" s="26" t="n">
        <v>535</v>
      </c>
      <c r="F19" s="30" t="n">
        <v>0.526315789473684</v>
      </c>
      <c r="G19" s="30" t="n">
        <v>0.526315789473684</v>
      </c>
    </row>
    <row r="20" customFormat="false" ht="16.5" hidden="false" customHeight="true" outlineLevel="0" collapsed="false">
      <c r="A20" s="92" t="s">
        <v>41</v>
      </c>
      <c r="B20" s="26" t="n">
        <v>285</v>
      </c>
      <c r="C20" s="26" t="n">
        <v>800</v>
      </c>
      <c r="D20" s="26" t="n">
        <v>800</v>
      </c>
      <c r="E20" s="26" t="n">
        <v>285</v>
      </c>
      <c r="F20" s="30" t="n">
        <v>0.435492651061513</v>
      </c>
      <c r="G20" s="30" t="n">
        <v>0.435492651061513</v>
      </c>
    </row>
    <row r="21" customFormat="false" ht="16.5" hidden="false" customHeight="true" outlineLevel="0" collapsed="false">
      <c r="A21" s="92" t="s">
        <v>42</v>
      </c>
      <c r="B21" s="26" t="n">
        <v>200</v>
      </c>
      <c r="C21" s="26" t="n">
        <v>1000</v>
      </c>
      <c r="D21" s="26" t="n">
        <v>1000</v>
      </c>
      <c r="E21" s="26" t="n">
        <v>200</v>
      </c>
      <c r="F21" s="30" t="n">
        <v>0.437445319335083</v>
      </c>
      <c r="G21" s="30" t="n">
        <v>0.437445319335083</v>
      </c>
    </row>
    <row r="22" customFormat="false" ht="16.5" hidden="false" customHeight="true" outlineLevel="0" collapsed="false">
      <c r="A22" s="92" t="s">
        <v>43</v>
      </c>
      <c r="B22" s="26" t="n">
        <v>850</v>
      </c>
      <c r="C22" s="26" t="n">
        <v>1200</v>
      </c>
      <c r="D22" s="26" t="n">
        <v>1200</v>
      </c>
      <c r="E22" s="26" t="n">
        <v>850</v>
      </c>
      <c r="F22" s="30" t="n">
        <v>0.421644413211525</v>
      </c>
      <c r="G22" s="30" t="n">
        <v>0.421644413211525</v>
      </c>
    </row>
    <row r="23" customFormat="false" ht="16.5" hidden="false" customHeight="true" outlineLevel="0" collapsed="false">
      <c r="A23" s="92" t="s">
        <v>44</v>
      </c>
      <c r="B23" s="26" t="n">
        <v>850</v>
      </c>
      <c r="C23" s="26" t="n">
        <v>1400</v>
      </c>
      <c r="D23" s="26" t="n">
        <v>1400</v>
      </c>
      <c r="E23" s="26" t="n">
        <v>850</v>
      </c>
      <c r="F23" s="30" t="n">
        <v>0.371451313345715</v>
      </c>
      <c r="G23" s="30" t="n">
        <v>0.371451313345715</v>
      </c>
    </row>
    <row r="24" customFormat="false" ht="16.5" hidden="false" customHeight="true" outlineLevel="0" collapsed="false">
      <c r="A24" s="133" t="s">
        <v>45</v>
      </c>
      <c r="B24" s="134" t="n">
        <v>815</v>
      </c>
      <c r="C24" s="134" t="n">
        <v>1600</v>
      </c>
      <c r="D24" s="134" t="n">
        <v>1600</v>
      </c>
      <c r="E24" s="134" t="n">
        <v>815</v>
      </c>
      <c r="F24" s="135" t="n">
        <v>0.372352804282057</v>
      </c>
      <c r="G24" s="135" t="n">
        <v>0.372352804282057</v>
      </c>
    </row>
    <row r="25" customFormat="false" ht="16.5" hidden="false" customHeight="true" outlineLevel="0" collapsed="false">
      <c r="A25" s="133" t="s">
        <v>46</v>
      </c>
      <c r="B25" s="134" t="n">
        <v>765</v>
      </c>
      <c r="C25" s="134" t="n">
        <v>1800</v>
      </c>
      <c r="D25" s="134" t="n">
        <v>1800</v>
      </c>
      <c r="E25" s="134" t="n">
        <v>765</v>
      </c>
      <c r="F25" s="135" t="n">
        <v>0.366225839267548</v>
      </c>
      <c r="G25" s="135" t="n">
        <v>0.366225839267548</v>
      </c>
    </row>
    <row r="26" customFormat="false" ht="16.5" hidden="false" customHeight="true" outlineLevel="0" collapsed="false">
      <c r="A26" s="133" t="s">
        <v>47</v>
      </c>
      <c r="B26" s="134" t="n">
        <v>700</v>
      </c>
      <c r="C26" s="134" t="n">
        <v>2000</v>
      </c>
      <c r="D26" s="134" t="n">
        <v>2000</v>
      </c>
      <c r="E26" s="134" t="n">
        <v>700</v>
      </c>
      <c r="F26" s="135" t="n">
        <v>0.356315695706396</v>
      </c>
      <c r="G26" s="135" t="n">
        <v>0.356315695706396</v>
      </c>
    </row>
    <row r="27" customFormat="false" ht="16.5" hidden="false" customHeight="true" outlineLevel="0" collapsed="false">
      <c r="A27" s="133" t="s">
        <v>48</v>
      </c>
      <c r="B27" s="134" t="n">
        <v>615</v>
      </c>
      <c r="C27" s="134" t="n">
        <v>2200</v>
      </c>
      <c r="D27" s="134" t="n">
        <v>2200</v>
      </c>
      <c r="E27" s="134" t="n">
        <v>615</v>
      </c>
      <c r="F27" s="135" t="n">
        <v>0.34992842373151</v>
      </c>
      <c r="G27" s="135" t="n">
        <v>0.34992842373151</v>
      </c>
    </row>
    <row r="28" customFormat="false" ht="16.5" hidden="false" customHeight="true" outlineLevel="0" collapsed="false">
      <c r="A28" s="133" t="s">
        <v>49</v>
      </c>
      <c r="B28" s="134" t="n">
        <v>510</v>
      </c>
      <c r="C28" s="134" t="n">
        <v>2400</v>
      </c>
      <c r="D28" s="134" t="n">
        <v>2400</v>
      </c>
      <c r="E28" s="134" t="n">
        <v>510</v>
      </c>
      <c r="F28" s="135" t="n">
        <v>0.347021399652979</v>
      </c>
      <c r="G28" s="135" t="n">
        <v>0.347021399652979</v>
      </c>
    </row>
    <row r="30" customFormat="false" ht="18" hidden="false" customHeight="true" outlineLevel="0" collapsed="false">
      <c r="A30" s="24" t="s">
        <v>461</v>
      </c>
      <c r="B30" s="24"/>
      <c r="C30" s="24"/>
      <c r="D30" s="24"/>
      <c r="E30" s="24"/>
      <c r="F30" s="24"/>
      <c r="G30" s="24"/>
    </row>
    <row r="31" customFormat="false" ht="21.75" hidden="false" customHeight="true" outlineLevel="0" collapsed="false">
      <c r="A31" s="21" t="s">
        <v>437</v>
      </c>
      <c r="B31" s="21" t="s">
        <v>462</v>
      </c>
      <c r="C31" s="21" t="s">
        <v>463</v>
      </c>
      <c r="D31" s="21" t="s">
        <v>464</v>
      </c>
      <c r="E31" s="21" t="s">
        <v>465</v>
      </c>
      <c r="F31" s="21" t="s">
        <v>466</v>
      </c>
      <c r="G31" s="21" t="s">
        <v>394</v>
      </c>
    </row>
    <row r="32" customFormat="false" ht="16.5" hidden="false" customHeight="true" outlineLevel="0" collapsed="false">
      <c r="A32" s="92" t="s">
        <v>40</v>
      </c>
      <c r="B32" s="26" t="n">
        <v>86</v>
      </c>
      <c r="C32" s="30" t="n">
        <v>0.0905263157894737</v>
      </c>
      <c r="D32" s="26" t="n">
        <v>90</v>
      </c>
      <c r="E32" s="30" t="n">
        <v>0.13953488372093</v>
      </c>
      <c r="F32" s="26" t="n">
        <v>-15</v>
      </c>
      <c r="G32" s="136" t="s">
        <v>467</v>
      </c>
    </row>
    <row r="33" customFormat="false" ht="16.5" hidden="false" customHeight="true" outlineLevel="0" collapsed="false">
      <c r="A33" s="92" t="s">
        <v>41</v>
      </c>
      <c r="B33" s="26" t="n">
        <v>137</v>
      </c>
      <c r="C33" s="30" t="n">
        <v>0.0745781164942842</v>
      </c>
      <c r="D33" s="26" t="n">
        <v>130</v>
      </c>
      <c r="E33" s="30" t="n">
        <v>0.105691056910569</v>
      </c>
      <c r="F33" s="26" t="n">
        <v>-28</v>
      </c>
      <c r="G33" s="136" t="s">
        <v>467</v>
      </c>
    </row>
    <row r="34" customFormat="false" ht="16.5" hidden="false" customHeight="true" outlineLevel="0" collapsed="false">
      <c r="A34" s="92" t="s">
        <v>42</v>
      </c>
      <c r="B34" s="26" t="n">
        <v>207</v>
      </c>
      <c r="C34" s="30" t="n">
        <v>0.0905511811023622</v>
      </c>
      <c r="D34" s="26" t="n">
        <v>170</v>
      </c>
      <c r="E34" s="30" t="n">
        <v>0.11371237458194</v>
      </c>
      <c r="F34" s="26" t="n">
        <v>-35</v>
      </c>
      <c r="G34" s="136" t="s">
        <v>467</v>
      </c>
    </row>
    <row r="35" customFormat="false" ht="16.5" hidden="false" customHeight="true" outlineLevel="0" collapsed="false">
      <c r="A35" s="92" t="s">
        <v>43</v>
      </c>
      <c r="B35" s="26" t="n">
        <v>86</v>
      </c>
      <c r="C35" s="30" t="n">
        <v>0.0302178496134926</v>
      </c>
      <c r="D35" s="26" t="n">
        <v>703</v>
      </c>
      <c r="E35" s="30" t="n">
        <v>0.390772651473041</v>
      </c>
      <c r="F35" s="26" t="n">
        <v>-45</v>
      </c>
      <c r="G35" s="136" t="s">
        <v>467</v>
      </c>
    </row>
    <row r="36" customFormat="false" ht="16.5" hidden="false" customHeight="true" outlineLevel="0" collapsed="false">
      <c r="A36" s="92" t="s">
        <v>44</v>
      </c>
      <c r="B36" s="26" t="n">
        <v>137</v>
      </c>
      <c r="C36" s="30" t="n">
        <v>0.036349164234545</v>
      </c>
      <c r="D36" s="26" t="n">
        <v>863</v>
      </c>
      <c r="E36" s="30" t="n">
        <v>0.387865168539326</v>
      </c>
      <c r="F36" s="26" t="n">
        <v>-60</v>
      </c>
      <c r="G36" s="136" t="s">
        <v>467</v>
      </c>
    </row>
    <row r="37" customFormat="false" ht="16.5" hidden="false" customHeight="true" outlineLevel="0" collapsed="false">
      <c r="A37" s="133" t="s">
        <v>45</v>
      </c>
      <c r="B37" s="134" t="n">
        <v>165</v>
      </c>
      <c r="C37" s="135" t="n">
        <v>0.0383988829415872</v>
      </c>
      <c r="D37" s="134" t="n">
        <v>940</v>
      </c>
      <c r="E37" s="135" t="n">
        <v>0.356736242884251</v>
      </c>
      <c r="F37" s="134" t="n">
        <v>-65</v>
      </c>
      <c r="G37" s="137" t="s">
        <v>468</v>
      </c>
    </row>
    <row r="38" customFormat="false" ht="16.5" hidden="false" customHeight="true" outlineLevel="0" collapsed="false">
      <c r="A38" s="133" t="s">
        <v>46</v>
      </c>
      <c r="B38" s="134" t="n">
        <v>189</v>
      </c>
      <c r="C38" s="135" t="n">
        <v>0.0384537131230926</v>
      </c>
      <c r="D38" s="134" t="n">
        <v>1020</v>
      </c>
      <c r="E38" s="135" t="n">
        <v>0.334207077326343</v>
      </c>
      <c r="F38" s="134" t="n">
        <v>-67</v>
      </c>
      <c r="G38" s="137" t="s">
        <v>469</v>
      </c>
    </row>
    <row r="39" customFormat="false" ht="16.5" hidden="false" customHeight="true" outlineLevel="0" collapsed="false">
      <c r="A39" s="133" t="s">
        <v>47</v>
      </c>
      <c r="B39" s="134" t="n">
        <v>216</v>
      </c>
      <c r="C39" s="135" t="n">
        <v>0.0384820951362908</v>
      </c>
      <c r="D39" s="134" t="n">
        <v>1100</v>
      </c>
      <c r="E39" s="135" t="n">
        <v>0.316546762589928</v>
      </c>
      <c r="F39" s="134" t="n">
        <v>-65</v>
      </c>
      <c r="G39" s="137" t="s">
        <v>469</v>
      </c>
    </row>
    <row r="40" customFormat="false" ht="16.5" hidden="false" customHeight="true" outlineLevel="0" collapsed="false">
      <c r="A40" s="133" t="s">
        <v>48</v>
      </c>
      <c r="B40" s="134" t="n">
        <v>241</v>
      </c>
      <c r="C40" s="135" t="n">
        <v>0.0383330682360426</v>
      </c>
      <c r="D40" s="134" t="n">
        <v>1180</v>
      </c>
      <c r="E40" s="135" t="n">
        <v>0.302564102564103</v>
      </c>
      <c r="F40" s="134" t="n">
        <v>-70</v>
      </c>
      <c r="G40" s="137" t="s">
        <v>469</v>
      </c>
    </row>
    <row r="41" customFormat="false" ht="16.5" hidden="false" customHeight="true" outlineLevel="0" collapsed="false">
      <c r="A41" s="133" t="s">
        <v>49</v>
      </c>
      <c r="B41" s="134" t="n">
        <v>265</v>
      </c>
      <c r="C41" s="135" t="n">
        <v>0.0383169462116831</v>
      </c>
      <c r="D41" s="134" t="n">
        <v>1240</v>
      </c>
      <c r="E41" s="135" t="n">
        <v>0.293491124260355</v>
      </c>
      <c r="F41" s="134" t="n">
        <v>-75</v>
      </c>
      <c r="G41" s="137" t="s">
        <v>469</v>
      </c>
    </row>
    <row r="43" customFormat="false" ht="18" hidden="false" customHeight="true" outlineLevel="0" collapsed="false">
      <c r="A43" s="24" t="s">
        <v>470</v>
      </c>
      <c r="B43" s="24"/>
      <c r="C43" s="24"/>
      <c r="D43" s="24"/>
      <c r="E43" s="24"/>
      <c r="F43" s="24"/>
      <c r="G43" s="24"/>
      <c r="H43" s="24"/>
    </row>
    <row r="44" customFormat="false" ht="21.75" hidden="false" customHeight="true" outlineLevel="0" collapsed="false">
      <c r="A44" s="21" t="s">
        <v>437</v>
      </c>
      <c r="B44" s="21" t="s">
        <v>471</v>
      </c>
      <c r="C44" s="21" t="s">
        <v>472</v>
      </c>
      <c r="D44" s="21" t="s">
        <v>473</v>
      </c>
      <c r="E44" s="21" t="s">
        <v>474</v>
      </c>
      <c r="F44" s="21" t="s">
        <v>475</v>
      </c>
      <c r="G44" s="21" t="s">
        <v>476</v>
      </c>
      <c r="H44" s="21" t="s">
        <v>196</v>
      </c>
    </row>
    <row r="45" customFormat="false" ht="16.5" hidden="false" customHeight="true" outlineLevel="0" collapsed="false">
      <c r="A45" s="138" t="s">
        <v>40</v>
      </c>
      <c r="B45" s="138" t="n">
        <v>0</v>
      </c>
      <c r="C45" s="138" t="n">
        <v>0</v>
      </c>
      <c r="D45" s="138" t="n">
        <v>0</v>
      </c>
      <c r="E45" s="138" t="n">
        <v>0</v>
      </c>
      <c r="F45" s="139" t="s">
        <v>477</v>
      </c>
      <c r="G45" s="139" t="s">
        <v>477</v>
      </c>
      <c r="H45" s="139" t="s">
        <v>478</v>
      </c>
    </row>
    <row r="46" customFormat="false" ht="16.5" hidden="false" customHeight="true" outlineLevel="0" collapsed="false">
      <c r="A46" s="140" t="s">
        <v>41</v>
      </c>
      <c r="B46" s="140" t="n">
        <v>0</v>
      </c>
      <c r="C46" s="140" t="n">
        <v>0</v>
      </c>
      <c r="D46" s="140" t="n">
        <v>0</v>
      </c>
      <c r="E46" s="140" t="n">
        <v>0</v>
      </c>
      <c r="F46" s="141" t="s">
        <v>477</v>
      </c>
      <c r="G46" s="141" t="s">
        <v>477</v>
      </c>
      <c r="H46" s="141" t="s">
        <v>478</v>
      </c>
    </row>
    <row r="47" customFormat="false" ht="16.5" hidden="false" customHeight="true" outlineLevel="0" collapsed="false">
      <c r="A47" s="138" t="s">
        <v>42</v>
      </c>
      <c r="B47" s="138" t="n">
        <v>0</v>
      </c>
      <c r="C47" s="138" t="n">
        <v>0</v>
      </c>
      <c r="D47" s="138" t="n">
        <v>0</v>
      </c>
      <c r="E47" s="138" t="n">
        <v>0</v>
      </c>
      <c r="F47" s="139" t="s">
        <v>477</v>
      </c>
      <c r="G47" s="139" t="s">
        <v>477</v>
      </c>
      <c r="H47" s="139" t="s">
        <v>478</v>
      </c>
    </row>
    <row r="48" customFormat="false" ht="16.5" hidden="false" customHeight="true" outlineLevel="0" collapsed="false">
      <c r="A48" s="140" t="s">
        <v>43</v>
      </c>
      <c r="B48" s="140" t="n">
        <v>0</v>
      </c>
      <c r="C48" s="140" t="n">
        <v>0</v>
      </c>
      <c r="D48" s="140" t="n">
        <v>0</v>
      </c>
      <c r="E48" s="140" t="n">
        <v>0</v>
      </c>
      <c r="F48" s="141" t="s">
        <v>477</v>
      </c>
      <c r="G48" s="141" t="s">
        <v>477</v>
      </c>
      <c r="H48" s="141" t="s">
        <v>478</v>
      </c>
    </row>
    <row r="49" customFormat="false" ht="16.5" hidden="false" customHeight="true" outlineLevel="0" collapsed="false">
      <c r="A49" s="138" t="s">
        <v>44</v>
      </c>
      <c r="B49" s="138" t="n">
        <v>0</v>
      </c>
      <c r="C49" s="138" t="n">
        <v>0</v>
      </c>
      <c r="D49" s="138" t="n">
        <v>0</v>
      </c>
      <c r="E49" s="138" t="n">
        <v>0</v>
      </c>
      <c r="F49" s="139" t="s">
        <v>477</v>
      </c>
      <c r="G49" s="139" t="s">
        <v>477</v>
      </c>
      <c r="H49" s="139" t="s">
        <v>478</v>
      </c>
    </row>
    <row r="50" customFormat="false" ht="16.5" hidden="false" customHeight="true" outlineLevel="0" collapsed="false">
      <c r="A50" s="140" t="s">
        <v>45</v>
      </c>
      <c r="B50" s="140" t="n">
        <v>0</v>
      </c>
      <c r="C50" s="140" t="n">
        <v>0</v>
      </c>
      <c r="D50" s="140" t="n">
        <v>0</v>
      </c>
      <c r="E50" s="140" t="n">
        <v>0</v>
      </c>
      <c r="F50" s="141" t="s">
        <v>477</v>
      </c>
      <c r="G50" s="141" t="s">
        <v>477</v>
      </c>
      <c r="H50" s="141" t="s">
        <v>478</v>
      </c>
    </row>
    <row r="51" customFormat="false" ht="16.5" hidden="false" customHeight="true" outlineLevel="0" collapsed="false">
      <c r="A51" s="138" t="s">
        <v>46</v>
      </c>
      <c r="B51" s="138" t="n">
        <v>0</v>
      </c>
      <c r="C51" s="138" t="n">
        <v>0</v>
      </c>
      <c r="D51" s="138" t="n">
        <v>0</v>
      </c>
      <c r="E51" s="138" t="n">
        <v>0</v>
      </c>
      <c r="F51" s="139" t="s">
        <v>477</v>
      </c>
      <c r="G51" s="139" t="s">
        <v>477</v>
      </c>
      <c r="H51" s="139" t="s">
        <v>478</v>
      </c>
    </row>
    <row r="52" customFormat="false" ht="16.5" hidden="false" customHeight="true" outlineLevel="0" collapsed="false">
      <c r="A52" s="140" t="s">
        <v>47</v>
      </c>
      <c r="B52" s="140" t="n">
        <v>0</v>
      </c>
      <c r="C52" s="140" t="n">
        <v>0</v>
      </c>
      <c r="D52" s="140" t="n">
        <v>0</v>
      </c>
      <c r="E52" s="140" t="n">
        <v>0</v>
      </c>
      <c r="F52" s="141" t="s">
        <v>477</v>
      </c>
      <c r="G52" s="141" t="s">
        <v>477</v>
      </c>
      <c r="H52" s="141" t="s">
        <v>478</v>
      </c>
    </row>
    <row r="53" customFormat="false" ht="16.5" hidden="false" customHeight="true" outlineLevel="0" collapsed="false">
      <c r="A53" s="138" t="s">
        <v>48</v>
      </c>
      <c r="B53" s="138" t="n">
        <v>0</v>
      </c>
      <c r="C53" s="138" t="n">
        <v>0</v>
      </c>
      <c r="D53" s="138" t="n">
        <v>0</v>
      </c>
      <c r="E53" s="138" t="n">
        <v>0</v>
      </c>
      <c r="F53" s="139" t="s">
        <v>477</v>
      </c>
      <c r="G53" s="139" t="s">
        <v>477</v>
      </c>
      <c r="H53" s="139" t="s">
        <v>478</v>
      </c>
    </row>
    <row r="54" customFormat="false" ht="16.5" hidden="false" customHeight="true" outlineLevel="0" collapsed="false">
      <c r="A54" s="140" t="s">
        <v>49</v>
      </c>
      <c r="B54" s="140" t="n">
        <v>0</v>
      </c>
      <c r="C54" s="140" t="n">
        <v>0</v>
      </c>
      <c r="D54" s="140" t="n">
        <v>0</v>
      </c>
      <c r="E54" s="140" t="n">
        <v>0</v>
      </c>
      <c r="F54" s="141" t="s">
        <v>477</v>
      </c>
      <c r="G54" s="141" t="s">
        <v>477</v>
      </c>
      <c r="H54" s="141" t="s">
        <v>478</v>
      </c>
    </row>
  </sheetData>
  <mergeCells count="5">
    <mergeCell ref="A1:K1"/>
    <mergeCell ref="A4:K4"/>
    <mergeCell ref="A17:K17"/>
    <mergeCell ref="A30:G30"/>
    <mergeCell ref="A43:H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11" min="2" style="1" width="13"/>
  </cols>
  <sheetData>
    <row r="1" customFormat="false" ht="30" hidden="false" customHeight="true" outlineLevel="0" collapsed="false">
      <c r="A1" s="19" t="s">
        <v>479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customFormat="false" ht="6" hidden="false" customHeight="true" outlineLevel="0" collapsed="false"/>
    <row r="3" customFormat="false" ht="19.5" hidden="false" customHeight="true" outlineLevel="0" collapsed="false">
      <c r="A3" s="20" t="s">
        <v>39</v>
      </c>
      <c r="B3" s="21" t="s">
        <v>40</v>
      </c>
      <c r="C3" s="21" t="s">
        <v>41</v>
      </c>
      <c r="D3" s="21" t="s">
        <v>42</v>
      </c>
      <c r="E3" s="21" t="s">
        <v>43</v>
      </c>
      <c r="F3" s="22" t="s">
        <v>44</v>
      </c>
      <c r="G3" s="23" t="s">
        <v>45</v>
      </c>
      <c r="H3" s="23" t="s">
        <v>46</v>
      </c>
      <c r="I3" s="23" t="s">
        <v>47</v>
      </c>
      <c r="J3" s="23" t="s">
        <v>48</v>
      </c>
      <c r="K3" s="23" t="s">
        <v>49</v>
      </c>
    </row>
    <row r="4" customFormat="false" ht="18" hidden="false" customHeight="true" outlineLevel="0" collapsed="false">
      <c r="A4" s="24" t="s">
        <v>480</v>
      </c>
      <c r="B4" s="24"/>
      <c r="C4" s="24"/>
      <c r="D4" s="24"/>
      <c r="E4" s="24"/>
      <c r="F4" s="24"/>
      <c r="G4" s="24"/>
      <c r="H4" s="24"/>
      <c r="I4" s="24"/>
      <c r="J4" s="24"/>
      <c r="K4" s="24"/>
    </row>
    <row r="5" customFormat="false" ht="19.5" hidden="false" customHeight="true" outlineLevel="0" collapsed="false">
      <c r="A5" s="21" t="s">
        <v>481</v>
      </c>
      <c r="B5" s="21" t="s">
        <v>40</v>
      </c>
      <c r="C5" s="21" t="s">
        <v>41</v>
      </c>
      <c r="D5" s="21" t="s">
        <v>42</v>
      </c>
      <c r="E5" s="21" t="s">
        <v>43</v>
      </c>
      <c r="F5" s="22" t="s">
        <v>44</v>
      </c>
      <c r="G5" s="23" t="s">
        <v>45</v>
      </c>
      <c r="H5" s="23" t="s">
        <v>46</v>
      </c>
      <c r="I5" s="23" t="s">
        <v>47</v>
      </c>
      <c r="J5" s="23" t="s">
        <v>48</v>
      </c>
      <c r="K5" s="23" t="s">
        <v>49</v>
      </c>
    </row>
    <row r="6" customFormat="false" ht="16.5" hidden="false" customHeight="true" outlineLevel="0" collapsed="false">
      <c r="A6" s="28" t="s">
        <v>482</v>
      </c>
      <c r="B6" s="118" t="n">
        <v>12</v>
      </c>
      <c r="C6" s="118" t="n">
        <v>20</v>
      </c>
      <c r="D6" s="118" t="n">
        <v>35</v>
      </c>
      <c r="E6" s="118" t="n">
        <v>52</v>
      </c>
      <c r="F6" s="118" t="n">
        <v>85</v>
      </c>
      <c r="G6" s="51" t="n">
        <v>355</v>
      </c>
      <c r="H6" s="51" t="n">
        <v>461</v>
      </c>
      <c r="I6" s="51" t="n">
        <v>568</v>
      </c>
      <c r="J6" s="51" t="n">
        <v>684</v>
      </c>
      <c r="K6" s="51" t="n">
        <v>778</v>
      </c>
    </row>
    <row r="7" customFormat="false" ht="16.5" hidden="false" customHeight="true" outlineLevel="0" collapsed="false">
      <c r="A7" s="28" t="s">
        <v>483</v>
      </c>
      <c r="B7" s="118" t="n">
        <f aca="false">Assumptions!B31</f>
        <v>25</v>
      </c>
      <c r="C7" s="118" t="n">
        <f aca="false">Assumptions!C31</f>
        <v>35</v>
      </c>
      <c r="D7" s="118" t="n">
        <f aca="false">Assumptions!D31</f>
        <v>45</v>
      </c>
      <c r="E7" s="118" t="n">
        <f aca="false">Assumptions!E31</f>
        <v>55</v>
      </c>
      <c r="F7" s="118" t="n">
        <f aca="false">Assumptions!F31</f>
        <v>70</v>
      </c>
      <c r="G7" s="51" t="n">
        <f aca="false">Assumptions!G31</f>
        <v>85</v>
      </c>
      <c r="H7" s="51" t="n">
        <f aca="false">Assumptions!H31</f>
        <v>100</v>
      </c>
      <c r="I7" s="51" t="n">
        <f aca="false">Assumptions!I31</f>
        <v>120</v>
      </c>
      <c r="J7" s="51" t="n">
        <f aca="false">Assumptions!J31</f>
        <v>140</v>
      </c>
      <c r="K7" s="51" t="n">
        <f aca="false">Assumptions!K31</f>
        <v>160</v>
      </c>
    </row>
    <row r="8" customFormat="false" ht="16.5" hidden="false" customHeight="true" outlineLevel="0" collapsed="false">
      <c r="A8" s="28" t="s">
        <v>484</v>
      </c>
      <c r="B8" s="118" t="n">
        <v>500</v>
      </c>
      <c r="C8" s="118" t="n">
        <v>800</v>
      </c>
      <c r="D8" s="118" t="n">
        <v>1000</v>
      </c>
      <c r="E8" s="118" t="n">
        <v>1200</v>
      </c>
      <c r="F8" s="118" t="n">
        <v>1400</v>
      </c>
      <c r="G8" s="51" t="n">
        <v>1600</v>
      </c>
      <c r="H8" s="51" t="n">
        <v>1800</v>
      </c>
      <c r="I8" s="51" t="n">
        <v>2000</v>
      </c>
      <c r="J8" s="51" t="n">
        <v>2200</v>
      </c>
      <c r="K8" s="51" t="n">
        <v>2400</v>
      </c>
    </row>
    <row r="9" customFormat="false" ht="16.5" hidden="false" customHeight="true" outlineLevel="0" collapsed="false">
      <c r="A9" s="28" t="s">
        <v>485</v>
      </c>
      <c r="B9" s="118" t="n">
        <v>10</v>
      </c>
      <c r="C9" s="118" t="n">
        <v>15</v>
      </c>
      <c r="D9" s="118" t="n">
        <v>20</v>
      </c>
      <c r="E9" s="118" t="n">
        <v>25</v>
      </c>
      <c r="F9" s="118" t="n">
        <v>30</v>
      </c>
      <c r="G9" s="51" t="n">
        <v>35</v>
      </c>
      <c r="H9" s="51" t="n">
        <v>40</v>
      </c>
      <c r="I9" s="51" t="n">
        <v>45</v>
      </c>
      <c r="J9" s="51" t="n">
        <v>50</v>
      </c>
      <c r="K9" s="51" t="n">
        <v>55</v>
      </c>
    </row>
    <row r="10" customFormat="false" ht="16.5" hidden="false" customHeight="true" outlineLevel="0" collapsed="false">
      <c r="A10" s="28" t="s">
        <v>486</v>
      </c>
      <c r="B10" s="118" t="n">
        <v>2</v>
      </c>
      <c r="C10" s="118" t="n">
        <v>5</v>
      </c>
      <c r="D10" s="118" t="n">
        <v>8</v>
      </c>
      <c r="E10" s="118" t="n">
        <v>12</v>
      </c>
      <c r="F10" s="118" t="n">
        <v>18</v>
      </c>
      <c r="G10" s="51" t="n">
        <v>20</v>
      </c>
      <c r="H10" s="51" t="n">
        <v>22</v>
      </c>
      <c r="I10" s="51" t="n">
        <v>25</v>
      </c>
      <c r="J10" s="51" t="n">
        <v>27</v>
      </c>
      <c r="K10" s="51" t="n">
        <v>30</v>
      </c>
    </row>
    <row r="11" customFormat="false" ht="16.5" hidden="false" customHeight="true" outlineLevel="0" collapsed="false">
      <c r="A11" s="28" t="s">
        <v>487</v>
      </c>
      <c r="B11" s="118" t="n">
        <v>-15</v>
      </c>
      <c r="C11" s="118" t="n">
        <v>-28</v>
      </c>
      <c r="D11" s="118" t="n">
        <v>-35</v>
      </c>
      <c r="E11" s="118" t="n">
        <v>-45</v>
      </c>
      <c r="F11" s="118" t="n">
        <v>-60</v>
      </c>
      <c r="G11" s="51" t="n">
        <v>-65</v>
      </c>
      <c r="H11" s="51" t="n">
        <v>-67</v>
      </c>
      <c r="I11" s="51" t="n">
        <v>-65</v>
      </c>
      <c r="J11" s="51" t="n">
        <v>-70</v>
      </c>
      <c r="K11" s="51" t="n">
        <v>-75</v>
      </c>
    </row>
    <row r="12" customFormat="false" ht="16.5" hidden="false" customHeight="true" outlineLevel="0" collapsed="false">
      <c r="A12" s="25" t="s">
        <v>166</v>
      </c>
      <c r="B12" s="27" t="n">
        <f aca="false">SUM(B6:B11)</f>
        <v>534</v>
      </c>
      <c r="C12" s="27" t="n">
        <f aca="false">SUM(C6:C11)</f>
        <v>847</v>
      </c>
      <c r="D12" s="27" t="n">
        <f aca="false">SUM(D6:D11)</f>
        <v>1073</v>
      </c>
      <c r="E12" s="27" t="n">
        <f aca="false">SUM(E6:E11)</f>
        <v>1299</v>
      </c>
      <c r="F12" s="27" t="n">
        <f aca="false">SUM(F6:F11)</f>
        <v>1543</v>
      </c>
      <c r="G12" s="27" t="n">
        <f aca="false">SUM(G6:G11)</f>
        <v>2030</v>
      </c>
      <c r="H12" s="27" t="n">
        <f aca="false">SUM(H6:H11)</f>
        <v>2356</v>
      </c>
      <c r="I12" s="27" t="n">
        <f aca="false">SUM(I6:I11)</f>
        <v>2693</v>
      </c>
      <c r="J12" s="27" t="n">
        <f aca="false">SUM(J6:J11)</f>
        <v>3031</v>
      </c>
      <c r="K12" s="27" t="n">
        <f aca="false">SUM(K6:K11)</f>
        <v>3348</v>
      </c>
    </row>
    <row r="13" customFormat="false" ht="16.5" hidden="false" customHeight="true" outlineLevel="0" collapsed="false">
      <c r="A13" s="28" t="s">
        <v>488</v>
      </c>
      <c r="B13" s="117" t="n">
        <v>0.575789473684211</v>
      </c>
      <c r="C13" s="117" t="n">
        <v>0.470332063146434</v>
      </c>
      <c r="D13" s="117" t="n">
        <v>0.477690288713911</v>
      </c>
      <c r="E13" s="117" t="n">
        <v>0.464862965565706</v>
      </c>
      <c r="F13" s="117" t="n">
        <v>0.416025470947201</v>
      </c>
      <c r="G13" s="52" t="n">
        <v>0.414707935769141</v>
      </c>
      <c r="H13" s="52" t="n">
        <v>0.418107833163784</v>
      </c>
      <c r="I13" s="52" t="n">
        <v>0.41279173347586</v>
      </c>
      <c r="J13" s="52" t="n">
        <v>0.408143788770479</v>
      </c>
      <c r="K13" s="52" t="n">
        <v>0.407027183342973</v>
      </c>
    </row>
    <row r="14" customFormat="false" ht="16.5" hidden="false" customHeight="true" outlineLevel="0" collapsed="false">
      <c r="A14" s="28" t="s">
        <v>489</v>
      </c>
      <c r="B14" s="36" t="s">
        <v>53</v>
      </c>
      <c r="C14" s="117" t="n">
        <v>0.579524680073126</v>
      </c>
      <c r="D14" s="117" t="n">
        <v>0.263888888888889</v>
      </c>
      <c r="E14" s="117" t="n">
        <v>0.211538461538462</v>
      </c>
      <c r="F14" s="117" t="n">
        <v>0.185185185185185</v>
      </c>
      <c r="G14" s="52" t="n">
        <v>0.136479591836735</v>
      </c>
      <c r="H14" s="52" t="n">
        <v>0.153198653198653</v>
      </c>
      <c r="I14" s="52" t="n">
        <v>0.127493917274939</v>
      </c>
      <c r="J14" s="52" t="n">
        <v>0.107466551575313</v>
      </c>
      <c r="K14" s="52" t="n">
        <v>0.0970381917381138</v>
      </c>
    </row>
    <row r="16" customFormat="false" ht="18" hidden="false" customHeight="true" outlineLevel="0" collapsed="false">
      <c r="A16" s="24" t="s">
        <v>490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</row>
    <row r="17" customFormat="false" ht="19.5" hidden="false" customHeight="true" outlineLevel="0" collapsed="false">
      <c r="A17" s="21" t="s">
        <v>481</v>
      </c>
      <c r="B17" s="21" t="s">
        <v>40</v>
      </c>
      <c r="C17" s="21" t="s">
        <v>41</v>
      </c>
      <c r="D17" s="21" t="s">
        <v>42</v>
      </c>
      <c r="E17" s="21" t="s">
        <v>43</v>
      </c>
      <c r="F17" s="22" t="s">
        <v>44</v>
      </c>
      <c r="G17" s="23" t="s">
        <v>45</v>
      </c>
      <c r="H17" s="23" t="s">
        <v>46</v>
      </c>
      <c r="I17" s="23" t="s">
        <v>47</v>
      </c>
      <c r="J17" s="23" t="s">
        <v>48</v>
      </c>
      <c r="K17" s="23" t="s">
        <v>49</v>
      </c>
    </row>
    <row r="18" customFormat="false" ht="16.5" hidden="false" customHeight="true" outlineLevel="0" collapsed="false">
      <c r="A18" s="28" t="s">
        <v>491</v>
      </c>
      <c r="B18" s="118" t="n">
        <v>-500</v>
      </c>
      <c r="C18" s="118" t="n">
        <v>-800</v>
      </c>
      <c r="D18" s="118" t="n">
        <v>-1000</v>
      </c>
      <c r="E18" s="118" t="n">
        <v>-1200</v>
      </c>
      <c r="F18" s="118" t="n">
        <v>-1400</v>
      </c>
      <c r="G18" s="51" t="n">
        <v>-1600</v>
      </c>
      <c r="H18" s="51" t="n">
        <v>-1800</v>
      </c>
      <c r="I18" s="51" t="n">
        <v>-2000</v>
      </c>
      <c r="J18" s="51" t="n">
        <v>-2200</v>
      </c>
      <c r="K18" s="51" t="n">
        <v>-2400</v>
      </c>
    </row>
    <row r="19" customFormat="false" ht="16.5" hidden="false" customHeight="true" outlineLevel="0" collapsed="false">
      <c r="A19" s="28" t="s">
        <v>492</v>
      </c>
      <c r="B19" s="118" t="n">
        <v>-50</v>
      </c>
      <c r="C19" s="118" t="n">
        <v>-60</v>
      </c>
      <c r="D19" s="118" t="n">
        <v>-70</v>
      </c>
      <c r="E19" s="118" t="n">
        <v>-80</v>
      </c>
      <c r="F19" s="118" t="n">
        <v>-100</v>
      </c>
      <c r="G19" s="51" t="n">
        <v>-120</v>
      </c>
      <c r="H19" s="51" t="n">
        <v>-140</v>
      </c>
      <c r="I19" s="51" t="n">
        <v>-160</v>
      </c>
      <c r="J19" s="51" t="n">
        <v>-180</v>
      </c>
      <c r="K19" s="51" t="n">
        <v>-200</v>
      </c>
    </row>
    <row r="20" customFormat="false" ht="16.5" hidden="false" customHeight="true" outlineLevel="0" collapsed="false">
      <c r="A20" s="28" t="s">
        <v>493</v>
      </c>
      <c r="B20" s="118" t="n">
        <v>-5</v>
      </c>
      <c r="C20" s="118" t="n">
        <v>-10</v>
      </c>
      <c r="D20" s="118" t="n">
        <v>-13</v>
      </c>
      <c r="E20" s="118" t="n">
        <v>-18</v>
      </c>
      <c r="F20" s="118" t="n">
        <v>-20</v>
      </c>
      <c r="G20" s="51" t="n">
        <v>-24</v>
      </c>
      <c r="H20" s="51" t="n">
        <v>-26</v>
      </c>
      <c r="I20" s="51" t="n">
        <v>-28</v>
      </c>
      <c r="J20" s="51" t="n">
        <v>-30</v>
      </c>
      <c r="K20" s="51" t="n">
        <v>-32</v>
      </c>
    </row>
    <row r="21" customFormat="false" ht="16.5" hidden="false" customHeight="true" outlineLevel="0" collapsed="false">
      <c r="A21" s="25" t="s">
        <v>171</v>
      </c>
      <c r="B21" s="27" t="n">
        <v>-655</v>
      </c>
      <c r="C21" s="27" t="n">
        <v>-870</v>
      </c>
      <c r="D21" s="27" t="n">
        <v>-1083</v>
      </c>
      <c r="E21" s="27" t="n">
        <v>-1298</v>
      </c>
      <c r="F21" s="27" t="n">
        <v>-1520</v>
      </c>
      <c r="G21" s="27" t="n">
        <v>-1744</v>
      </c>
      <c r="H21" s="27" t="n">
        <v>-1966</v>
      </c>
      <c r="I21" s="27" t="n">
        <v>-2188</v>
      </c>
      <c r="J21" s="27" t="n">
        <v>-2410</v>
      </c>
      <c r="K21" s="27" t="n">
        <v>-2632</v>
      </c>
    </row>
    <row r="22" customFormat="false" ht="16.5" hidden="false" customHeight="true" outlineLevel="0" collapsed="false">
      <c r="A22" s="28" t="s">
        <v>494</v>
      </c>
      <c r="B22" s="117" t="n">
        <v>0.578947368421053</v>
      </c>
      <c r="C22" s="117" t="n">
        <v>0.468154599891127</v>
      </c>
      <c r="D22" s="117" t="n">
        <v>0.468066491688539</v>
      </c>
      <c r="E22" s="117" t="n">
        <v>0.44975404075896</v>
      </c>
      <c r="F22" s="117" t="n">
        <v>0.397983550013266</v>
      </c>
      <c r="G22" s="52" t="n">
        <v>0.400279264603212</v>
      </c>
      <c r="H22" s="52" t="n">
        <v>0.39471007121058</v>
      </c>
      <c r="I22" s="52" t="n">
        <v>0.384820951362908</v>
      </c>
      <c r="J22" s="52" t="n">
        <v>0.378558931127724</v>
      </c>
      <c r="K22" s="52" t="n">
        <v>0.37593984962406</v>
      </c>
    </row>
    <row r="23" customFormat="false" ht="16.5" hidden="false" customHeight="true" outlineLevel="0" collapsed="false">
      <c r="A23" s="28" t="s">
        <v>495</v>
      </c>
      <c r="B23" s="117" t="n">
        <v>0.526315789473684</v>
      </c>
      <c r="C23" s="117" t="n">
        <v>0.435492651061513</v>
      </c>
      <c r="D23" s="117" t="n">
        <v>0.437445319335083</v>
      </c>
      <c r="E23" s="117" t="n">
        <v>0.421644413211525</v>
      </c>
      <c r="F23" s="117" t="n">
        <v>0.371451313345715</v>
      </c>
      <c r="G23" s="52" t="n">
        <v>0.372352804282057</v>
      </c>
      <c r="H23" s="52" t="n">
        <v>0.366225839267548</v>
      </c>
      <c r="I23" s="52" t="n">
        <v>0.356315695706396</v>
      </c>
      <c r="J23" s="52" t="n">
        <v>0.34992842373151</v>
      </c>
      <c r="K23" s="52" t="n">
        <v>0.347021399652979</v>
      </c>
    </row>
    <row r="25" customFormat="false" ht="18" hidden="false" customHeight="true" outlineLevel="0" collapsed="false">
      <c r="A25" s="61" t="s">
        <v>496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</row>
    <row r="26" customFormat="false" ht="21.75" hidden="false" customHeight="true" outlineLevel="0" collapsed="false">
      <c r="A26" s="21" t="s">
        <v>437</v>
      </c>
      <c r="B26" s="21" t="s">
        <v>497</v>
      </c>
      <c r="C26" s="21" t="s">
        <v>201</v>
      </c>
      <c r="D26" s="21" t="s">
        <v>498</v>
      </c>
      <c r="E26" s="21" t="s">
        <v>499</v>
      </c>
      <c r="F26" s="21" t="s">
        <v>500</v>
      </c>
      <c r="G26" s="21" t="s">
        <v>501</v>
      </c>
    </row>
    <row r="27" customFormat="false" ht="16.5" hidden="false" customHeight="true" outlineLevel="0" collapsed="false">
      <c r="A27" s="81" t="s">
        <v>40</v>
      </c>
      <c r="B27" s="83" t="n">
        <v>547</v>
      </c>
      <c r="C27" s="83" t="n">
        <v>-550</v>
      </c>
      <c r="D27" s="142" t="n">
        <v>-103</v>
      </c>
      <c r="E27" s="122" t="n">
        <v>-0.108421052631579</v>
      </c>
      <c r="F27" s="83" t="n">
        <v>47.5</v>
      </c>
      <c r="G27" s="143" t="n">
        <v>-8.58333333333333</v>
      </c>
    </row>
    <row r="28" customFormat="false" ht="16.5" hidden="false" customHeight="true" outlineLevel="0" collapsed="false">
      <c r="A28" s="85" t="s">
        <v>41</v>
      </c>
      <c r="B28" s="87" t="n">
        <v>864</v>
      </c>
      <c r="C28" s="87" t="n">
        <v>-860</v>
      </c>
      <c r="D28" s="144" t="n">
        <v>4</v>
      </c>
      <c r="E28" s="123" t="n">
        <v>0.00217746325530757</v>
      </c>
      <c r="F28" s="87" t="n">
        <v>91.85</v>
      </c>
      <c r="G28" s="145" t="n">
        <v>0.2</v>
      </c>
    </row>
    <row r="29" customFormat="false" ht="16.5" hidden="false" customHeight="true" outlineLevel="0" collapsed="false">
      <c r="A29" s="81" t="s">
        <v>42</v>
      </c>
      <c r="B29" s="83" t="n">
        <v>1092</v>
      </c>
      <c r="C29" s="83" t="n">
        <v>-1070</v>
      </c>
      <c r="D29" s="144" t="n">
        <v>22</v>
      </c>
      <c r="E29" s="122" t="n">
        <v>0.00962379702537183</v>
      </c>
      <c r="F29" s="83" t="n">
        <v>114.3</v>
      </c>
      <c r="G29" s="143" t="n">
        <v>0.628571428571429</v>
      </c>
    </row>
    <row r="30" customFormat="false" ht="16.5" hidden="false" customHeight="true" outlineLevel="0" collapsed="false">
      <c r="A30" s="85" t="s">
        <v>43</v>
      </c>
      <c r="B30" s="87" t="n">
        <v>1323</v>
      </c>
      <c r="C30" s="87" t="n">
        <v>-1280</v>
      </c>
      <c r="D30" s="144" t="n">
        <v>43</v>
      </c>
      <c r="E30" s="123" t="n">
        <v>0.0151089248067463</v>
      </c>
      <c r="F30" s="87" t="n">
        <v>142.3</v>
      </c>
      <c r="G30" s="145" t="n">
        <v>0.826923076923077</v>
      </c>
    </row>
    <row r="31" customFormat="false" ht="16.5" hidden="false" customHeight="true" outlineLevel="0" collapsed="false">
      <c r="A31" s="81" t="s">
        <v>44</v>
      </c>
      <c r="B31" s="83" t="n">
        <v>1568</v>
      </c>
      <c r="C31" s="83" t="n">
        <v>-1500</v>
      </c>
      <c r="D31" s="144" t="n">
        <v>68</v>
      </c>
      <c r="E31" s="122" t="n">
        <v>0.0180419209339347</v>
      </c>
      <c r="F31" s="83" t="n">
        <v>188.45</v>
      </c>
      <c r="G31" s="143" t="n">
        <v>0.8</v>
      </c>
    </row>
    <row r="32" customFormat="false" ht="16.5" hidden="false" customHeight="true" outlineLevel="0" collapsed="false">
      <c r="A32" s="85" t="s">
        <v>45</v>
      </c>
      <c r="B32" s="87" t="n">
        <v>1782</v>
      </c>
      <c r="C32" s="87" t="n">
        <v>-1720</v>
      </c>
      <c r="D32" s="144" t="n">
        <v>62</v>
      </c>
      <c r="E32" s="123" t="n">
        <v>0.0144286711659297</v>
      </c>
      <c r="F32" s="87" t="n">
        <v>214.85</v>
      </c>
      <c r="G32" s="145" t="n">
        <v>0.174647887323944</v>
      </c>
    </row>
    <row r="33" customFormat="false" ht="16.5" hidden="false" customHeight="true" outlineLevel="0" collapsed="false">
      <c r="A33" s="81" t="s">
        <v>46</v>
      </c>
      <c r="B33" s="83" t="n">
        <v>2055</v>
      </c>
      <c r="C33" s="83" t="n">
        <v>-1940</v>
      </c>
      <c r="D33" s="144" t="n">
        <v>115</v>
      </c>
      <c r="E33" s="122" t="n">
        <v>0.0233977619532045</v>
      </c>
      <c r="F33" s="83" t="n">
        <v>245.75</v>
      </c>
      <c r="G33" s="143" t="n">
        <v>0.249457700650759</v>
      </c>
    </row>
    <row r="34" customFormat="false" ht="16.5" hidden="false" customHeight="true" outlineLevel="0" collapsed="false">
      <c r="A34" s="85" t="s">
        <v>47</v>
      </c>
      <c r="B34" s="87" t="n">
        <v>2317</v>
      </c>
      <c r="C34" s="87" t="n">
        <v>-2160</v>
      </c>
      <c r="D34" s="144" t="n">
        <v>197</v>
      </c>
      <c r="E34" s="123" t="n">
        <v>0.03509709602708</v>
      </c>
      <c r="F34" s="87" t="n">
        <v>280.65</v>
      </c>
      <c r="G34" s="145" t="n">
        <v>0.346830985915493</v>
      </c>
    </row>
    <row r="35" customFormat="false" ht="16.5" hidden="false" customHeight="true" outlineLevel="0" collapsed="false">
      <c r="A35" s="81" t="s">
        <v>48</v>
      </c>
      <c r="B35" s="83" t="n">
        <v>2566</v>
      </c>
      <c r="C35" s="83" t="n">
        <v>-2380</v>
      </c>
      <c r="D35" s="144" t="n">
        <v>186</v>
      </c>
      <c r="E35" s="122" t="n">
        <v>0.0295848576427549</v>
      </c>
      <c r="F35" s="83" t="n">
        <v>314.35</v>
      </c>
      <c r="G35" s="143" t="n">
        <v>0.271929824561404</v>
      </c>
    </row>
    <row r="36" customFormat="false" ht="16.5" hidden="false" customHeight="true" outlineLevel="0" collapsed="false">
      <c r="A36" s="85" t="s">
        <v>49</v>
      </c>
      <c r="B36" s="87" t="n">
        <v>2815</v>
      </c>
      <c r="C36" s="87" t="n">
        <v>-2600</v>
      </c>
      <c r="D36" s="144" t="n">
        <v>215</v>
      </c>
      <c r="E36" s="123" t="n">
        <v>0.0310873337189127</v>
      </c>
      <c r="F36" s="87" t="n">
        <v>345.8</v>
      </c>
      <c r="G36" s="145" t="n">
        <v>0.276349614395887</v>
      </c>
    </row>
    <row r="38" customFormat="false" ht="18" hidden="false" customHeight="true" outlineLevel="0" collapsed="false">
      <c r="A38" s="24" t="s">
        <v>502</v>
      </c>
      <c r="B38" s="24"/>
      <c r="C38" s="24"/>
      <c r="D38" s="24"/>
      <c r="E38" s="24"/>
      <c r="F38" s="24"/>
      <c r="G38" s="24"/>
      <c r="H38" s="24"/>
      <c r="I38" s="24"/>
      <c r="J38" s="24"/>
      <c r="K38" s="24"/>
    </row>
    <row r="39" customFormat="false" ht="19.5" hidden="false" customHeight="true" outlineLevel="0" collapsed="false">
      <c r="A39" s="21" t="s">
        <v>481</v>
      </c>
      <c r="B39" s="21" t="s">
        <v>40</v>
      </c>
      <c r="C39" s="21" t="s">
        <v>41</v>
      </c>
      <c r="D39" s="21" t="s">
        <v>42</v>
      </c>
      <c r="E39" s="21" t="s">
        <v>43</v>
      </c>
      <c r="F39" s="22" t="s">
        <v>44</v>
      </c>
      <c r="G39" s="23" t="s">
        <v>45</v>
      </c>
      <c r="H39" s="23" t="s">
        <v>46</v>
      </c>
      <c r="I39" s="23" t="s">
        <v>47</v>
      </c>
      <c r="J39" s="23" t="s">
        <v>48</v>
      </c>
      <c r="K39" s="23" t="s">
        <v>49</v>
      </c>
    </row>
    <row r="40" customFormat="false" ht="16.5" hidden="false" customHeight="true" outlineLevel="0" collapsed="false">
      <c r="A40" s="28" t="s">
        <v>503</v>
      </c>
      <c r="B40" s="118" t="n">
        <v>-30</v>
      </c>
      <c r="C40" s="118" t="n">
        <v>-55</v>
      </c>
      <c r="D40" s="118" t="n">
        <v>-68</v>
      </c>
      <c r="E40" s="118" t="n">
        <v>-82</v>
      </c>
      <c r="F40" s="118" t="n">
        <v>-110</v>
      </c>
      <c r="G40" s="51" t="n">
        <v>-120</v>
      </c>
      <c r="H40" s="51" t="n">
        <v>-125</v>
      </c>
      <c r="I40" s="51" t="n">
        <v>-130</v>
      </c>
      <c r="J40" s="51" t="n">
        <v>-140</v>
      </c>
      <c r="K40" s="51" t="n">
        <v>-150</v>
      </c>
    </row>
    <row r="41" customFormat="false" ht="16.5" hidden="false" customHeight="true" outlineLevel="0" collapsed="false">
      <c r="A41" s="28" t="s">
        <v>504</v>
      </c>
      <c r="B41" s="118" t="n">
        <v>450</v>
      </c>
      <c r="C41" s="118" t="n">
        <v>280</v>
      </c>
      <c r="D41" s="118" t="n">
        <v>180</v>
      </c>
      <c r="E41" s="118" t="n">
        <v>120</v>
      </c>
      <c r="F41" s="118" t="n">
        <v>80</v>
      </c>
      <c r="G41" s="51" t="n">
        <v>40</v>
      </c>
      <c r="H41" s="51" t="n">
        <v>30</v>
      </c>
      <c r="I41" s="51" t="n">
        <v>20</v>
      </c>
      <c r="J41" s="51" t="n">
        <v>10</v>
      </c>
      <c r="K41" s="51" t="n">
        <v>0</v>
      </c>
    </row>
    <row r="42" customFormat="false" ht="16.5" hidden="false" customHeight="true" outlineLevel="0" collapsed="false">
      <c r="A42" s="28" t="s">
        <v>505</v>
      </c>
      <c r="B42" s="118" t="n">
        <v>0</v>
      </c>
      <c r="C42" s="118" t="n">
        <v>0</v>
      </c>
      <c r="D42" s="118" t="n">
        <v>0</v>
      </c>
      <c r="E42" s="118" t="n">
        <v>0</v>
      </c>
      <c r="F42" s="118" t="n">
        <v>0</v>
      </c>
      <c r="G42" s="51" t="n">
        <v>0</v>
      </c>
      <c r="H42" s="51" t="n">
        <v>0</v>
      </c>
      <c r="I42" s="51" t="n">
        <v>0</v>
      </c>
      <c r="J42" s="51" t="n">
        <v>0</v>
      </c>
      <c r="K42" s="51" t="n">
        <v>0</v>
      </c>
    </row>
    <row r="43" customFormat="false" ht="16.5" hidden="false" customHeight="true" outlineLevel="0" collapsed="false">
      <c r="A43" s="28" t="s">
        <v>506</v>
      </c>
      <c r="B43" s="118" t="n">
        <v>0</v>
      </c>
      <c r="C43" s="118" t="n">
        <v>0</v>
      </c>
      <c r="D43" s="118" t="n">
        <v>0</v>
      </c>
      <c r="E43" s="118" t="n">
        <v>0</v>
      </c>
      <c r="F43" s="118" t="n">
        <v>0</v>
      </c>
      <c r="G43" s="51" t="n">
        <v>0</v>
      </c>
      <c r="H43" s="51" t="n">
        <v>0</v>
      </c>
      <c r="I43" s="51" t="n">
        <v>0</v>
      </c>
      <c r="J43" s="51" t="n">
        <v>0</v>
      </c>
      <c r="K43" s="51" t="n">
        <v>0</v>
      </c>
    </row>
    <row r="44" customFormat="false" ht="16.5" hidden="false" customHeight="true" outlineLevel="0" collapsed="false">
      <c r="A44" s="25" t="s">
        <v>180</v>
      </c>
      <c r="B44" s="27" t="n">
        <v>420</v>
      </c>
      <c r="C44" s="27" t="n">
        <v>225</v>
      </c>
      <c r="D44" s="27" t="n">
        <v>112</v>
      </c>
      <c r="E44" s="27" t="n">
        <v>38</v>
      </c>
      <c r="F44" s="27" t="n">
        <v>-30</v>
      </c>
      <c r="G44" s="27" t="n">
        <v>-80</v>
      </c>
      <c r="H44" s="27" t="n">
        <v>-95</v>
      </c>
      <c r="I44" s="27" t="n">
        <v>-110</v>
      </c>
      <c r="J44" s="27" t="n">
        <v>-130</v>
      </c>
      <c r="K44" s="27" t="n">
        <v>-150</v>
      </c>
    </row>
    <row r="45" customFormat="false" ht="16.5" hidden="false" customHeight="true" outlineLevel="0" collapsed="false">
      <c r="A45" s="112" t="s">
        <v>507</v>
      </c>
      <c r="B45" s="146" t="n">
        <v>30</v>
      </c>
      <c r="C45" s="146" t="n">
        <v>85</v>
      </c>
      <c r="D45" s="146" t="n">
        <v>153</v>
      </c>
      <c r="E45" s="146" t="n">
        <v>235</v>
      </c>
      <c r="F45" s="146" t="n">
        <v>345</v>
      </c>
      <c r="G45" s="134" t="n">
        <v>465</v>
      </c>
      <c r="H45" s="134" t="n">
        <v>590</v>
      </c>
      <c r="I45" s="134" t="n">
        <v>720</v>
      </c>
      <c r="J45" s="134" t="n">
        <v>860</v>
      </c>
      <c r="K45" s="134" t="n">
        <v>1010</v>
      </c>
    </row>
    <row r="46" customFormat="false" ht="16.5" hidden="false" customHeight="true" outlineLevel="0" collapsed="false">
      <c r="A46" s="112" t="s">
        <v>508</v>
      </c>
      <c r="B46" s="146" t="n">
        <v>450</v>
      </c>
      <c r="C46" s="146" t="n">
        <v>730</v>
      </c>
      <c r="D46" s="146" t="n">
        <v>910</v>
      </c>
      <c r="E46" s="146" t="n">
        <v>1030</v>
      </c>
      <c r="F46" s="146" t="n">
        <v>1110</v>
      </c>
      <c r="G46" s="134" t="n">
        <v>1150</v>
      </c>
      <c r="H46" s="134" t="n">
        <v>1180</v>
      </c>
      <c r="I46" s="134" t="n">
        <v>1200</v>
      </c>
      <c r="J46" s="134" t="n">
        <v>1210</v>
      </c>
      <c r="K46" s="134" t="n">
        <v>1210</v>
      </c>
    </row>
    <row r="48" customFormat="false" ht="18" hidden="false" customHeight="true" outlineLevel="0" collapsed="false">
      <c r="A48" s="24" t="s">
        <v>509</v>
      </c>
      <c r="B48" s="24"/>
      <c r="C48" s="24"/>
      <c r="D48" s="24"/>
      <c r="E48" s="24"/>
      <c r="F48" s="24"/>
      <c r="G48" s="24"/>
      <c r="H48" s="24"/>
      <c r="I48" s="24"/>
      <c r="J48" s="24"/>
      <c r="K48" s="24"/>
    </row>
    <row r="49" customFormat="false" ht="21.75" hidden="false" customHeight="true" outlineLevel="0" collapsed="false">
      <c r="A49" s="21" t="s">
        <v>437</v>
      </c>
      <c r="B49" s="21" t="s">
        <v>510</v>
      </c>
      <c r="C49" s="21" t="s">
        <v>511</v>
      </c>
      <c r="D49" s="21" t="s">
        <v>512</v>
      </c>
      <c r="E49" s="21" t="s">
        <v>513</v>
      </c>
      <c r="F49" s="21" t="s">
        <v>514</v>
      </c>
      <c r="G49" s="21" t="s">
        <v>515</v>
      </c>
      <c r="H49" s="21" t="s">
        <v>516</v>
      </c>
    </row>
    <row r="50" customFormat="false" ht="16.5" hidden="false" customHeight="true" outlineLevel="0" collapsed="false">
      <c r="A50" s="92" t="s">
        <v>40</v>
      </c>
      <c r="B50" s="83" t="n">
        <v>250</v>
      </c>
      <c r="C50" s="83" t="n">
        <v>547</v>
      </c>
      <c r="D50" s="83" t="n">
        <v>-655</v>
      </c>
      <c r="E50" s="83" t="n">
        <v>420</v>
      </c>
      <c r="F50" s="83" t="n">
        <v>312</v>
      </c>
      <c r="G50" s="83" t="n">
        <v>562</v>
      </c>
      <c r="H50" s="83" t="n">
        <v>47.5</v>
      </c>
    </row>
    <row r="51" customFormat="false" ht="16.5" hidden="false" customHeight="true" outlineLevel="0" collapsed="false">
      <c r="A51" s="92" t="s">
        <v>41</v>
      </c>
      <c r="B51" s="83" t="n">
        <v>562</v>
      </c>
      <c r="C51" s="83" t="n">
        <v>864</v>
      </c>
      <c r="D51" s="83" t="n">
        <v>-870</v>
      </c>
      <c r="E51" s="83" t="n">
        <v>225</v>
      </c>
      <c r="F51" s="83" t="n">
        <v>219</v>
      </c>
      <c r="G51" s="83" t="n">
        <v>781</v>
      </c>
      <c r="H51" s="83" t="n">
        <v>91.85</v>
      </c>
    </row>
    <row r="52" customFormat="false" ht="16.5" hidden="false" customHeight="true" outlineLevel="0" collapsed="false">
      <c r="A52" s="92" t="s">
        <v>42</v>
      </c>
      <c r="B52" s="83" t="n">
        <v>781</v>
      </c>
      <c r="C52" s="83" t="n">
        <v>1092</v>
      </c>
      <c r="D52" s="83" t="n">
        <v>-1083</v>
      </c>
      <c r="E52" s="83" t="n">
        <v>112</v>
      </c>
      <c r="F52" s="83" t="n">
        <v>121</v>
      </c>
      <c r="G52" s="83" t="n">
        <v>902</v>
      </c>
      <c r="H52" s="83" t="n">
        <v>114.3</v>
      </c>
    </row>
    <row r="53" customFormat="false" ht="16.5" hidden="false" customHeight="true" outlineLevel="0" collapsed="false">
      <c r="A53" s="92" t="s">
        <v>43</v>
      </c>
      <c r="B53" s="83" t="n">
        <v>902</v>
      </c>
      <c r="C53" s="83" t="n">
        <v>1323</v>
      </c>
      <c r="D53" s="83" t="n">
        <v>-1298</v>
      </c>
      <c r="E53" s="83" t="n">
        <v>38</v>
      </c>
      <c r="F53" s="83" t="n">
        <v>63</v>
      </c>
      <c r="G53" s="83" t="n">
        <v>965</v>
      </c>
      <c r="H53" s="83" t="n">
        <v>142.3</v>
      </c>
    </row>
    <row r="54" customFormat="false" ht="16.5" hidden="false" customHeight="true" outlineLevel="0" collapsed="false">
      <c r="A54" s="92" t="s">
        <v>44</v>
      </c>
      <c r="B54" s="83" t="n">
        <v>965</v>
      </c>
      <c r="C54" s="83" t="n">
        <v>1568</v>
      </c>
      <c r="D54" s="83" t="n">
        <v>-1520</v>
      </c>
      <c r="E54" s="83" t="n">
        <v>-30</v>
      </c>
      <c r="F54" s="83" t="n">
        <v>18</v>
      </c>
      <c r="G54" s="83" t="n">
        <v>983</v>
      </c>
      <c r="H54" s="83" t="n">
        <v>188.45</v>
      </c>
    </row>
    <row r="55" customFormat="false" ht="16.5" hidden="false" customHeight="true" outlineLevel="0" collapsed="false">
      <c r="A55" s="133" t="s">
        <v>45</v>
      </c>
      <c r="B55" s="72" t="n">
        <v>983</v>
      </c>
      <c r="C55" s="72" t="n">
        <v>1782</v>
      </c>
      <c r="D55" s="72" t="n">
        <v>-1744</v>
      </c>
      <c r="E55" s="72" t="n">
        <v>-80</v>
      </c>
      <c r="F55" s="72" t="n">
        <v>-42</v>
      </c>
      <c r="G55" s="72" t="n">
        <v>941</v>
      </c>
      <c r="H55" s="72" t="n">
        <v>214.85</v>
      </c>
    </row>
    <row r="56" customFormat="false" ht="16.5" hidden="false" customHeight="true" outlineLevel="0" collapsed="false">
      <c r="A56" s="133" t="s">
        <v>46</v>
      </c>
      <c r="B56" s="72" t="n">
        <v>941</v>
      </c>
      <c r="C56" s="72" t="n">
        <v>2055</v>
      </c>
      <c r="D56" s="72" t="n">
        <v>-1966</v>
      </c>
      <c r="E56" s="72" t="n">
        <v>-95</v>
      </c>
      <c r="F56" s="72" t="n">
        <v>-6</v>
      </c>
      <c r="G56" s="72" t="n">
        <v>935</v>
      </c>
      <c r="H56" s="72" t="n">
        <v>245.75</v>
      </c>
    </row>
    <row r="57" customFormat="false" ht="16.5" hidden="false" customHeight="true" outlineLevel="0" collapsed="false">
      <c r="A57" s="133" t="s">
        <v>47</v>
      </c>
      <c r="B57" s="72" t="n">
        <v>935</v>
      </c>
      <c r="C57" s="72" t="n">
        <v>2317</v>
      </c>
      <c r="D57" s="72" t="n">
        <v>-2188</v>
      </c>
      <c r="E57" s="72" t="n">
        <v>-110</v>
      </c>
      <c r="F57" s="72" t="n">
        <v>19</v>
      </c>
      <c r="G57" s="72" t="n">
        <v>954</v>
      </c>
      <c r="H57" s="72" t="n">
        <v>280.65</v>
      </c>
    </row>
    <row r="58" customFormat="false" ht="16.5" hidden="false" customHeight="true" outlineLevel="0" collapsed="false">
      <c r="A58" s="133" t="s">
        <v>48</v>
      </c>
      <c r="B58" s="72" t="n">
        <v>954</v>
      </c>
      <c r="C58" s="72" t="n">
        <v>2566</v>
      </c>
      <c r="D58" s="72" t="n">
        <v>-2410</v>
      </c>
      <c r="E58" s="72" t="n">
        <v>-130</v>
      </c>
      <c r="F58" s="72" t="n">
        <v>26</v>
      </c>
      <c r="G58" s="72" t="n">
        <v>980</v>
      </c>
      <c r="H58" s="72" t="n">
        <v>314.35</v>
      </c>
    </row>
    <row r="59" customFormat="false" ht="16.5" hidden="false" customHeight="true" outlineLevel="0" collapsed="false">
      <c r="A59" s="133" t="s">
        <v>49</v>
      </c>
      <c r="B59" s="72" t="n">
        <v>980</v>
      </c>
      <c r="C59" s="72" t="n">
        <v>2815</v>
      </c>
      <c r="D59" s="72" t="n">
        <v>-2632</v>
      </c>
      <c r="E59" s="72" t="n">
        <v>-150</v>
      </c>
      <c r="F59" s="72" t="n">
        <v>33</v>
      </c>
      <c r="G59" s="72" t="n">
        <v>1013</v>
      </c>
      <c r="H59" s="72" t="n">
        <v>345.8</v>
      </c>
    </row>
  </sheetData>
  <mergeCells count="6">
    <mergeCell ref="A1:K1"/>
    <mergeCell ref="A4:K4"/>
    <mergeCell ref="A16:K16"/>
    <mergeCell ref="A25:K25"/>
    <mergeCell ref="A38:K38"/>
    <mergeCell ref="A48:K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2026-03-27T01:25:24Z</dcterms:created>
  <dc:creator>openpyxl</dc:creator>
  <dc:description/>
  <dc:language>en-US</dc:language>
  <cp:lastModifiedBy/>
  <dcterms:modified xsi:type="dcterms:W3CDTF">2026-04-08T23:05:40Z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