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jo2\Downloads\Financial model project\"/>
    </mc:Choice>
  </mc:AlternateContent>
  <xr:revisionPtr revIDLastSave="0" documentId="13_ncr:1_{DE72AFA1-9252-4619-BAED-EC6E29DF9DD0}" xr6:coauthVersionLast="47" xr6:coauthVersionMax="47" xr10:uidLastSave="{00000000-0000-0000-0000-000000000000}"/>
  <bookViews>
    <workbookView xWindow="-108" yWindow="-108" windowWidth="23256" windowHeight="12456" tabRatio="500" firstSheet="5" activeTab="8" xr2:uid="{00000000-000D-0000-FFFF-FFFF00000000}"/>
  </bookViews>
  <sheets>
    <sheet name="Cover Page" sheetId="1" r:id="rId1"/>
    <sheet name="Assumptions" sheetId="2" r:id="rId2"/>
    <sheet name="Income Statement" sheetId="3" r:id="rId3"/>
    <sheet name="Balance Sheet" sheetId="4" r:id="rId4"/>
    <sheet name="Cash Flow" sheetId="5" r:id="rId5"/>
    <sheet name="DCF &amp; WACC" sheetId="6" r:id="rId6"/>
    <sheet name="Sensitivity Analysis" sheetId="7" r:id="rId7"/>
    <sheet name="Comparable Companies" sheetId="8" r:id="rId8"/>
    <sheet name="Scenario Analysis" sheetId="9" r:id="rId9"/>
    <sheet name="Revenue Schedule" sheetId="10" r:id="rId10"/>
    <sheet name="Expense Schedule" sheetId="11" r:id="rId11"/>
    <sheet name="BS Schedules" sheetId="12" r:id="rId12"/>
    <sheet name="CF Schedule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2" i="13" l="1"/>
  <c r="H12" i="13"/>
  <c r="K7" i="13"/>
  <c r="J7" i="13"/>
  <c r="J12" i="13" s="1"/>
  <c r="I7" i="13"/>
  <c r="I12" i="13" s="1"/>
  <c r="H7" i="13"/>
  <c r="G7" i="13"/>
  <c r="G12" i="13" s="1"/>
  <c r="F7" i="13"/>
  <c r="F12" i="13" s="1"/>
  <c r="E7" i="13"/>
  <c r="E12" i="13" s="1"/>
  <c r="D7" i="13"/>
  <c r="D12" i="13" s="1"/>
  <c r="C7" i="13"/>
  <c r="C12" i="13" s="1"/>
  <c r="B7" i="13"/>
  <c r="B12" i="13" s="1"/>
  <c r="D15" i="9"/>
  <c r="D13" i="9"/>
  <c r="B47" i="6"/>
  <c r="B42" i="6"/>
  <c r="B40" i="6"/>
  <c r="F25" i="6"/>
  <c r="E25" i="6"/>
  <c r="D25" i="6"/>
  <c r="C25" i="6"/>
  <c r="B25" i="6"/>
  <c r="F23" i="6"/>
  <c r="E23" i="6"/>
  <c r="D23" i="6"/>
  <c r="C23" i="6"/>
  <c r="B23" i="6"/>
  <c r="B13" i="6"/>
  <c r="B12" i="6"/>
  <c r="B11" i="6"/>
  <c r="B8" i="6"/>
  <c r="B7" i="6"/>
  <c r="B6" i="6"/>
  <c r="E25" i="5"/>
  <c r="B25" i="5"/>
  <c r="K24" i="5"/>
  <c r="J24" i="5"/>
  <c r="I24" i="5"/>
  <c r="H24" i="5"/>
  <c r="G24" i="5"/>
  <c r="F24" i="5"/>
  <c r="E24" i="5"/>
  <c r="D24" i="5"/>
  <c r="C24" i="5"/>
  <c r="C25" i="5" s="1"/>
  <c r="B24" i="5"/>
  <c r="K23" i="5"/>
  <c r="J23" i="5"/>
  <c r="I23" i="5"/>
  <c r="H23" i="5"/>
  <c r="G23" i="5"/>
  <c r="F23" i="5"/>
  <c r="E23" i="5"/>
  <c r="D23" i="5"/>
  <c r="C23" i="5"/>
  <c r="B23" i="5"/>
  <c r="K22" i="5"/>
  <c r="J22" i="5"/>
  <c r="I22" i="5"/>
  <c r="H22" i="5"/>
  <c r="H25" i="5" s="1"/>
  <c r="G22" i="5"/>
  <c r="F22" i="5"/>
  <c r="E22" i="5"/>
  <c r="D22" i="5"/>
  <c r="C22" i="5"/>
  <c r="B22" i="5"/>
  <c r="K21" i="5"/>
  <c r="K25" i="5" s="1"/>
  <c r="J21" i="5"/>
  <c r="I21" i="5"/>
  <c r="I25" i="5" s="1"/>
  <c r="H21" i="5"/>
  <c r="G21" i="5"/>
  <c r="G25" i="5" s="1"/>
  <c r="F21" i="5"/>
  <c r="F25" i="5" s="1"/>
  <c r="E21" i="5"/>
  <c r="D21" i="5"/>
  <c r="D25" i="5" s="1"/>
  <c r="C21" i="5"/>
  <c r="B21" i="5"/>
  <c r="E16" i="5"/>
  <c r="D16" i="5"/>
  <c r="C16" i="5"/>
  <c r="K15" i="5"/>
  <c r="J15" i="5"/>
  <c r="I15" i="5"/>
  <c r="H15" i="5"/>
  <c r="G15" i="5"/>
  <c r="F15" i="5"/>
  <c r="E15" i="5"/>
  <c r="D15" i="5"/>
  <c r="C15" i="5"/>
  <c r="B15" i="5"/>
  <c r="K14" i="5"/>
  <c r="J14" i="5"/>
  <c r="I14" i="5"/>
  <c r="H14" i="5"/>
  <c r="H16" i="5" s="1"/>
  <c r="G14" i="5"/>
  <c r="F14" i="5"/>
  <c r="E14" i="5"/>
  <c r="D14" i="5"/>
  <c r="C14" i="5"/>
  <c r="B14" i="5"/>
  <c r="K13" i="5"/>
  <c r="K16" i="5" s="1"/>
  <c r="J13" i="5"/>
  <c r="I13" i="5"/>
  <c r="I16" i="5" s="1"/>
  <c r="H13" i="5"/>
  <c r="G13" i="5"/>
  <c r="G16" i="5" s="1"/>
  <c r="F13" i="5"/>
  <c r="F16" i="5" s="1"/>
  <c r="E13" i="5"/>
  <c r="D13" i="5"/>
  <c r="C13" i="5"/>
  <c r="B13" i="5"/>
  <c r="B16" i="5" s="1"/>
  <c r="K10" i="5"/>
  <c r="J10" i="5"/>
  <c r="I10" i="5"/>
  <c r="H10" i="5"/>
  <c r="G10" i="5"/>
  <c r="F10" i="5"/>
  <c r="E10" i="5"/>
  <c r="D10" i="5"/>
  <c r="C10" i="5"/>
  <c r="B10" i="5"/>
  <c r="K9" i="5"/>
  <c r="J9" i="5"/>
  <c r="I9" i="5"/>
  <c r="H9" i="5"/>
  <c r="G9" i="5"/>
  <c r="F9" i="5"/>
  <c r="E9" i="5"/>
  <c r="D9" i="5"/>
  <c r="C9" i="5"/>
  <c r="B9" i="5"/>
  <c r="K8" i="5"/>
  <c r="J8" i="5"/>
  <c r="I8" i="5"/>
  <c r="H8" i="5"/>
  <c r="G8" i="5"/>
  <c r="F8" i="5"/>
  <c r="E8" i="5"/>
  <c r="D8" i="5"/>
  <c r="C8" i="5"/>
  <c r="B8" i="5"/>
  <c r="K7" i="5"/>
  <c r="J7" i="5"/>
  <c r="I7" i="5"/>
  <c r="H7" i="5"/>
  <c r="G7" i="5"/>
  <c r="F7" i="5"/>
  <c r="E7" i="5"/>
  <c r="D7" i="5"/>
  <c r="C7" i="5"/>
  <c r="B7" i="5"/>
  <c r="J33" i="4"/>
  <c r="K33" i="4" s="1"/>
  <c r="G33" i="4"/>
  <c r="H33" i="4" s="1"/>
  <c r="I33" i="4" s="1"/>
  <c r="H31" i="4"/>
  <c r="G31" i="4"/>
  <c r="F29" i="4"/>
  <c r="E29" i="4"/>
  <c r="D29" i="4"/>
  <c r="C29" i="4"/>
  <c r="B29" i="4"/>
  <c r="G28" i="4"/>
  <c r="H28" i="4" s="1"/>
  <c r="I28" i="4" s="1"/>
  <c r="J28" i="4" s="1"/>
  <c r="K28" i="4" s="1"/>
  <c r="G27" i="4"/>
  <c r="H27" i="4" s="1"/>
  <c r="K26" i="4"/>
  <c r="J26" i="4"/>
  <c r="I26" i="4"/>
  <c r="H26" i="4"/>
  <c r="G26" i="4"/>
  <c r="F24" i="4"/>
  <c r="E24" i="4"/>
  <c r="D24" i="4"/>
  <c r="C24" i="4"/>
  <c r="B24" i="4"/>
  <c r="H23" i="4"/>
  <c r="I23" i="4" s="1"/>
  <c r="J23" i="4" s="1"/>
  <c r="K23" i="4" s="1"/>
  <c r="G23" i="4"/>
  <c r="H22" i="4"/>
  <c r="I22" i="4" s="1"/>
  <c r="J22" i="4" s="1"/>
  <c r="K22" i="4" s="1"/>
  <c r="G22" i="4"/>
  <c r="G21" i="4"/>
  <c r="H21" i="4" s="1"/>
  <c r="I21" i="4" s="1"/>
  <c r="J21" i="4" s="1"/>
  <c r="K21" i="4" s="1"/>
  <c r="F16" i="4"/>
  <c r="E16" i="4"/>
  <c r="D16" i="4"/>
  <c r="C16" i="4"/>
  <c r="B16" i="4"/>
  <c r="G15" i="4"/>
  <c r="H15" i="4" s="1"/>
  <c r="I15" i="4" s="1"/>
  <c r="J15" i="4" s="1"/>
  <c r="K15" i="4" s="1"/>
  <c r="I14" i="4"/>
  <c r="J14" i="4" s="1"/>
  <c r="K14" i="4" s="1"/>
  <c r="G14" i="4"/>
  <c r="H14" i="4" s="1"/>
  <c r="G13" i="4"/>
  <c r="H13" i="4" s="1"/>
  <c r="I13" i="4" s="1"/>
  <c r="J13" i="4" s="1"/>
  <c r="K13" i="4" s="1"/>
  <c r="G12" i="4"/>
  <c r="F10" i="4"/>
  <c r="E10" i="4"/>
  <c r="E17" i="4" s="1"/>
  <c r="D10" i="4"/>
  <c r="D17" i="4" s="1"/>
  <c r="D34" i="4" s="1"/>
  <c r="D35" i="4" s="1"/>
  <c r="C10" i="4"/>
  <c r="C17" i="4" s="1"/>
  <c r="B10" i="4"/>
  <c r="B17" i="4" s="1"/>
  <c r="G9" i="4"/>
  <c r="H9" i="4" s="1"/>
  <c r="I9" i="4" s="1"/>
  <c r="J9" i="4" s="1"/>
  <c r="K9" i="4" s="1"/>
  <c r="H7" i="4"/>
  <c r="I7" i="4" s="1"/>
  <c r="J7" i="4" s="1"/>
  <c r="K7" i="4" s="1"/>
  <c r="G7" i="4"/>
  <c r="K33" i="3"/>
  <c r="J33" i="3"/>
  <c r="I33" i="3"/>
  <c r="H33" i="3"/>
  <c r="G33" i="3"/>
  <c r="F33" i="3"/>
  <c r="E33" i="3"/>
  <c r="D33" i="3"/>
  <c r="C33" i="3"/>
  <c r="B33" i="3"/>
  <c r="K32" i="3"/>
  <c r="J32" i="3"/>
  <c r="I32" i="3"/>
  <c r="H32" i="3"/>
  <c r="G32" i="3"/>
  <c r="F32" i="3"/>
  <c r="E32" i="3"/>
  <c r="D32" i="3"/>
  <c r="C32" i="3"/>
  <c r="B32" i="3"/>
  <c r="K31" i="3"/>
  <c r="J31" i="3"/>
  <c r="I31" i="3"/>
  <c r="H31" i="3"/>
  <c r="G31" i="3"/>
  <c r="F31" i="3"/>
  <c r="E31" i="3"/>
  <c r="D31" i="3"/>
  <c r="C31" i="3"/>
  <c r="B31" i="3"/>
  <c r="E25" i="3"/>
  <c r="E26" i="3" s="1"/>
  <c r="D25" i="3"/>
  <c r="E24" i="3"/>
  <c r="B24" i="3"/>
  <c r="E23" i="3"/>
  <c r="D23" i="3"/>
  <c r="D24" i="3" s="1"/>
  <c r="C23" i="3"/>
  <c r="F20" i="3"/>
  <c r="B20" i="3"/>
  <c r="B21" i="3" s="1"/>
  <c r="F17" i="3"/>
  <c r="E17" i="3"/>
  <c r="C17" i="3"/>
  <c r="B17" i="3"/>
  <c r="E16" i="3"/>
  <c r="D16" i="3"/>
  <c r="C16" i="3"/>
  <c r="F15" i="3"/>
  <c r="B15" i="3"/>
  <c r="F10" i="3"/>
  <c r="E10" i="3"/>
  <c r="E11" i="3" s="1"/>
  <c r="C10" i="3"/>
  <c r="B10" i="3"/>
  <c r="E9" i="3"/>
  <c r="D9" i="3"/>
  <c r="C9" i="3"/>
  <c r="C11" i="3" s="1"/>
  <c r="F7" i="3"/>
  <c r="F6" i="3"/>
  <c r="F23" i="3" s="1"/>
  <c r="E6" i="3"/>
  <c r="E20" i="3" s="1"/>
  <c r="D6" i="3"/>
  <c r="D17" i="3" s="1"/>
  <c r="C6" i="3"/>
  <c r="C20" i="3" s="1"/>
  <c r="B6" i="3"/>
  <c r="B23" i="3" s="1"/>
  <c r="B46" i="2"/>
  <c r="B9" i="6" s="1"/>
  <c r="G6" i="2"/>
  <c r="H8" i="1"/>
  <c r="E34" i="4" l="1"/>
  <c r="E35" i="4" s="1"/>
  <c r="E36" i="4" s="1"/>
  <c r="H6" i="2"/>
  <c r="B17" i="6"/>
  <c r="B22" i="6" s="1"/>
  <c r="D26" i="3"/>
  <c r="D27" i="3" s="1"/>
  <c r="F21" i="3"/>
  <c r="F22" i="3"/>
  <c r="B48" i="6"/>
  <c r="B25" i="3"/>
  <c r="B22" i="3"/>
  <c r="C21" i="3"/>
  <c r="C22" i="3"/>
  <c r="D36" i="4"/>
  <c r="I31" i="4"/>
  <c r="G16" i="4"/>
  <c r="H12" i="4"/>
  <c r="E21" i="3"/>
  <c r="E22" i="3"/>
  <c r="B34" i="4"/>
  <c r="B35" i="4" s="1"/>
  <c r="B36" i="4"/>
  <c r="J16" i="5"/>
  <c r="F17" i="4"/>
  <c r="H29" i="4"/>
  <c r="I27" i="4"/>
  <c r="J27" i="4" s="1"/>
  <c r="K27" i="4" s="1"/>
  <c r="K29" i="4" s="1"/>
  <c r="J25" i="5"/>
  <c r="F25" i="3"/>
  <c r="F24" i="3"/>
  <c r="C24" i="3"/>
  <c r="C25" i="3"/>
  <c r="G6" i="3"/>
  <c r="C34" i="4"/>
  <c r="C35" i="4" s="1"/>
  <c r="C36" i="4" s="1"/>
  <c r="C7" i="3"/>
  <c r="C15" i="3"/>
  <c r="C18" i="3" s="1"/>
  <c r="B47" i="2"/>
  <c r="D7" i="3"/>
  <c r="F9" i="3"/>
  <c r="F11" i="3" s="1"/>
  <c r="F12" i="3" s="1"/>
  <c r="F13" i="3" s="1"/>
  <c r="D15" i="3"/>
  <c r="D18" i="3" s="1"/>
  <c r="F16" i="3"/>
  <c r="F18" i="3" s="1"/>
  <c r="G29" i="4"/>
  <c r="E7" i="3"/>
  <c r="E15" i="3"/>
  <c r="E18" i="3" s="1"/>
  <c r="E28" i="3"/>
  <c r="C12" i="3"/>
  <c r="C13" i="3" s="1"/>
  <c r="E27" i="3"/>
  <c r="D20" i="3"/>
  <c r="E12" i="3"/>
  <c r="E13" i="3" s="1"/>
  <c r="B9" i="3"/>
  <c r="B11" i="3" s="1"/>
  <c r="B12" i="3" s="1"/>
  <c r="B13" i="3" s="1"/>
  <c r="D10" i="3"/>
  <c r="D11" i="3" s="1"/>
  <c r="D12" i="3" s="1"/>
  <c r="D13" i="3" s="1"/>
  <c r="B16" i="3"/>
  <c r="B18" i="3" s="1"/>
  <c r="D21" i="3" l="1"/>
  <c r="D22" i="3"/>
  <c r="J31" i="4"/>
  <c r="F26" i="3"/>
  <c r="F27" i="3" s="1"/>
  <c r="J29" i="4"/>
  <c r="E26" i="6"/>
  <c r="D26" i="6"/>
  <c r="F8" i="1"/>
  <c r="B26" i="6"/>
  <c r="C26" i="6"/>
  <c r="B10" i="6"/>
  <c r="F26" i="6"/>
  <c r="D28" i="3"/>
  <c r="F34" i="4"/>
  <c r="F35" i="4" s="1"/>
  <c r="F36" i="4" s="1"/>
  <c r="G20" i="3"/>
  <c r="G15" i="3"/>
  <c r="G7" i="3"/>
  <c r="G23" i="3"/>
  <c r="G16" i="3"/>
  <c r="G9" i="3"/>
  <c r="G8" i="4"/>
  <c r="G17" i="3"/>
  <c r="G10" i="3"/>
  <c r="H16" i="4"/>
  <c r="I12" i="4"/>
  <c r="I6" i="2"/>
  <c r="H6" i="3"/>
  <c r="C17" i="6"/>
  <c r="C22" i="6" s="1"/>
  <c r="B26" i="3"/>
  <c r="B28" i="3"/>
  <c r="B27" i="3"/>
  <c r="E6" i="5"/>
  <c r="E11" i="5" s="1"/>
  <c r="E29" i="3"/>
  <c r="C26" i="3"/>
  <c r="C27" i="3"/>
  <c r="C28" i="3"/>
  <c r="I29" i="4"/>
  <c r="H20" i="3" l="1"/>
  <c r="H15" i="3"/>
  <c r="H7" i="3"/>
  <c r="H23" i="3"/>
  <c r="H16" i="3"/>
  <c r="H9" i="3"/>
  <c r="H17" i="3"/>
  <c r="H10" i="3"/>
  <c r="H8" i="4"/>
  <c r="G18" i="3"/>
  <c r="I6" i="3"/>
  <c r="D17" i="6"/>
  <c r="D22" i="6" s="1"/>
  <c r="J6" i="2"/>
  <c r="B18" i="6"/>
  <c r="G24" i="3"/>
  <c r="G25" i="3"/>
  <c r="G21" i="3"/>
  <c r="G22" i="3"/>
  <c r="B21" i="6"/>
  <c r="I16" i="4"/>
  <c r="J12" i="4"/>
  <c r="F28" i="3"/>
  <c r="C6" i="5"/>
  <c r="C11" i="5" s="1"/>
  <c r="C29" i="3"/>
  <c r="D6" i="5"/>
  <c r="D11" i="5" s="1"/>
  <c r="D29" i="3"/>
  <c r="B29" i="3"/>
  <c r="B6" i="5"/>
  <c r="B11" i="5" s="1"/>
  <c r="K31" i="4"/>
  <c r="E28" i="5"/>
  <c r="E18" i="5"/>
  <c r="E19" i="5" s="1"/>
  <c r="G11" i="3"/>
  <c r="C18" i="5" l="1"/>
  <c r="C19" i="5" s="1"/>
  <c r="C28" i="5"/>
  <c r="I15" i="3"/>
  <c r="I7" i="3"/>
  <c r="I23" i="3"/>
  <c r="I16" i="3"/>
  <c r="I9" i="3"/>
  <c r="I17" i="3"/>
  <c r="I10" i="3"/>
  <c r="I8" i="4"/>
  <c r="I20" i="3"/>
  <c r="G20" i="4"/>
  <c r="G24" i="4" s="1"/>
  <c r="G12" i="3"/>
  <c r="G13" i="3" s="1"/>
  <c r="H11" i="3"/>
  <c r="F29" i="3"/>
  <c r="F6" i="5"/>
  <c r="F11" i="5" s="1"/>
  <c r="B28" i="5"/>
  <c r="B29" i="5" s="1"/>
  <c r="C27" i="5" s="1"/>
  <c r="C29" i="5" s="1"/>
  <c r="D27" i="5" s="1"/>
  <c r="D29" i="5" s="1"/>
  <c r="E27" i="5" s="1"/>
  <c r="E29" i="5" s="1"/>
  <c r="F27" i="5" s="1"/>
  <c r="B18" i="5"/>
  <c r="B19" i="5" s="1"/>
  <c r="B20" i="6"/>
  <c r="B24" i="6" s="1"/>
  <c r="B27" i="6" s="1"/>
  <c r="B19" i="6"/>
  <c r="H18" i="3"/>
  <c r="J16" i="4"/>
  <c r="K12" i="4"/>
  <c r="K16" i="4" s="1"/>
  <c r="D18" i="5"/>
  <c r="D19" i="5" s="1"/>
  <c r="D28" i="5"/>
  <c r="E17" i="6"/>
  <c r="E22" i="6" s="1"/>
  <c r="K6" i="2"/>
  <c r="J6" i="3"/>
  <c r="G26" i="3"/>
  <c r="G27" i="3"/>
  <c r="G28" i="3"/>
  <c r="H25" i="3"/>
  <c r="H24" i="3"/>
  <c r="C18" i="6"/>
  <c r="H22" i="3"/>
  <c r="C21" i="6"/>
  <c r="H21" i="3"/>
  <c r="J23" i="3" l="1"/>
  <c r="J16" i="3"/>
  <c r="J9" i="3"/>
  <c r="J17" i="3"/>
  <c r="J10" i="3"/>
  <c r="J20" i="3"/>
  <c r="J8" i="4"/>
  <c r="J7" i="3"/>
  <c r="J15" i="3"/>
  <c r="J18" i="3" s="1"/>
  <c r="K6" i="3"/>
  <c r="F17" i="6"/>
  <c r="F22" i="6" s="1"/>
  <c r="I21" i="3"/>
  <c r="I22" i="3"/>
  <c r="D21" i="6"/>
  <c r="H26" i="3"/>
  <c r="H28" i="3"/>
  <c r="H27" i="3"/>
  <c r="G6" i="5"/>
  <c r="G11" i="5" s="1"/>
  <c r="G29" i="3"/>
  <c r="G32" i="4"/>
  <c r="I11" i="3"/>
  <c r="I24" i="3"/>
  <c r="D18" i="6"/>
  <c r="I25" i="3"/>
  <c r="C19" i="6"/>
  <c r="C20" i="6"/>
  <c r="C24" i="6" s="1"/>
  <c r="C27" i="6" s="1"/>
  <c r="F28" i="5"/>
  <c r="F29" i="5" s="1"/>
  <c r="G27" i="5" s="1"/>
  <c r="F18" i="5"/>
  <c r="F19" i="5" s="1"/>
  <c r="H20" i="4"/>
  <c r="H24" i="4" s="1"/>
  <c r="H12" i="3"/>
  <c r="H13" i="3" s="1"/>
  <c r="I18" i="3"/>
  <c r="G29" i="5" l="1"/>
  <c r="H32" i="4"/>
  <c r="J21" i="3"/>
  <c r="E21" i="6"/>
  <c r="J22" i="3"/>
  <c r="G18" i="5"/>
  <c r="G19" i="5" s="1"/>
  <c r="G28" i="5"/>
  <c r="K15" i="3"/>
  <c r="K7" i="3"/>
  <c r="K23" i="3"/>
  <c r="K16" i="3"/>
  <c r="K9" i="3"/>
  <c r="K8" i="4"/>
  <c r="K17" i="3"/>
  <c r="K10" i="3"/>
  <c r="K20" i="3"/>
  <c r="I20" i="4"/>
  <c r="I24" i="4" s="1"/>
  <c r="I12" i="3"/>
  <c r="I13" i="3" s="1"/>
  <c r="I26" i="3"/>
  <c r="I27" i="3" s="1"/>
  <c r="J24" i="3"/>
  <c r="E18" i="6"/>
  <c r="J25" i="3"/>
  <c r="H6" i="5"/>
  <c r="H11" i="5" s="1"/>
  <c r="H29" i="3"/>
  <c r="J11" i="3"/>
  <c r="D19" i="6"/>
  <c r="D20" i="6"/>
  <c r="D24" i="6" s="1"/>
  <c r="D27" i="6" s="1"/>
  <c r="F18" i="6" l="1"/>
  <c r="K24" i="3"/>
  <c r="K25" i="3"/>
  <c r="I28" i="3"/>
  <c r="K18" i="3"/>
  <c r="J20" i="4"/>
  <c r="J24" i="4" s="1"/>
  <c r="J12" i="3"/>
  <c r="J13" i="3" s="1"/>
  <c r="K22" i="3"/>
  <c r="F21" i="6"/>
  <c r="K21" i="3"/>
  <c r="H28" i="5"/>
  <c r="H18" i="5"/>
  <c r="H19" i="5" s="1"/>
  <c r="I32" i="4"/>
  <c r="J26" i="3"/>
  <c r="J27" i="3" s="1"/>
  <c r="J28" i="3"/>
  <c r="E20" i="6"/>
  <c r="E24" i="6" s="1"/>
  <c r="E27" i="6" s="1"/>
  <c r="E19" i="6"/>
  <c r="K11" i="3"/>
  <c r="G6" i="4"/>
  <c r="G10" i="4" s="1"/>
  <c r="G17" i="4" s="1"/>
  <c r="H27" i="5"/>
  <c r="H29" i="5" s="1"/>
  <c r="H6" i="4" l="1"/>
  <c r="H10" i="4" s="1"/>
  <c r="H17" i="4" s="1"/>
  <c r="I27" i="5"/>
  <c r="J32" i="4"/>
  <c r="F19" i="6"/>
  <c r="F20" i="6"/>
  <c r="F24" i="6" s="1"/>
  <c r="G34" i="4"/>
  <c r="G35" i="4" s="1"/>
  <c r="G36" i="4"/>
  <c r="K20" i="4"/>
  <c r="K24" i="4" s="1"/>
  <c r="K12" i="3"/>
  <c r="K13" i="3" s="1"/>
  <c r="J29" i="3"/>
  <c r="J6" i="5"/>
  <c r="J11" i="5" s="1"/>
  <c r="I29" i="3"/>
  <c r="I6" i="5"/>
  <c r="I11" i="5" s="1"/>
  <c r="K26" i="3"/>
  <c r="K28" i="3" s="1"/>
  <c r="K27" i="3"/>
  <c r="K29" i="3" l="1"/>
  <c r="K6" i="5"/>
  <c r="K11" i="5" s="1"/>
  <c r="J18" i="5"/>
  <c r="J19" i="5" s="1"/>
  <c r="J28" i="5"/>
  <c r="K32" i="4"/>
  <c r="I28" i="5"/>
  <c r="I18" i="5"/>
  <c r="I19" i="5" s="1"/>
  <c r="I29" i="5"/>
  <c r="B31" i="6"/>
  <c r="B32" i="6" s="1"/>
  <c r="B33" i="6" s="1"/>
  <c r="B38" i="6" s="1"/>
  <c r="F27" i="6"/>
  <c r="B37" i="6" s="1"/>
  <c r="H34" i="4"/>
  <c r="H35" i="4" s="1"/>
  <c r="H36" i="4"/>
  <c r="I6" i="4" l="1"/>
  <c r="I10" i="4" s="1"/>
  <c r="I17" i="4" s="1"/>
  <c r="J27" i="5"/>
  <c r="J29" i="5" s="1"/>
  <c r="B39" i="6"/>
  <c r="K18" i="5"/>
  <c r="K19" i="5" s="1"/>
  <c r="K28" i="5"/>
  <c r="C9" i="9" l="1"/>
  <c r="B43" i="6"/>
  <c r="C21" i="7"/>
  <c r="B8" i="1"/>
  <c r="C10" i="7"/>
  <c r="C48" i="6"/>
  <c r="C47" i="6"/>
  <c r="C14" i="9"/>
  <c r="D14" i="9" s="1"/>
  <c r="D16" i="9" s="1"/>
  <c r="J6" i="4"/>
  <c r="J10" i="4" s="1"/>
  <c r="J17" i="4" s="1"/>
  <c r="K27" i="5"/>
  <c r="K29" i="5" s="1"/>
  <c r="K6" i="4" s="1"/>
  <c r="K10" i="4" s="1"/>
  <c r="K17" i="4" s="1"/>
  <c r="I34" i="4"/>
  <c r="I35" i="4" s="1"/>
  <c r="I36" i="4" s="1"/>
  <c r="D10" i="8" l="1"/>
  <c r="E47" i="6"/>
  <c r="J34" i="4"/>
  <c r="J35" i="4" s="1"/>
  <c r="J36" i="4"/>
  <c r="K34" i="4"/>
  <c r="K35" i="4" s="1"/>
  <c r="K36" i="4" s="1"/>
  <c r="E10" i="8"/>
  <c r="E48" i="6"/>
  <c r="C10" i="8"/>
  <c r="D8" i="1"/>
</calcChain>
</file>

<file path=xl/sharedStrings.xml><?xml version="1.0" encoding="utf-8"?>
<sst xmlns="http://schemas.openxmlformats.org/spreadsheetml/2006/main" count="878" uniqueCount="515">
  <si>
    <t>NETFLIX INDIA</t>
  </si>
  <si>
    <t>COMPREHENSIVE 3-STATEMENT FINANCIAL MODEL &amp; DCF VALUATION</t>
  </si>
  <si>
    <t>All Projections Formula-Driven  |  Change Assumptions Sheet → Entire Model Updates</t>
  </si>
  <si>
    <t>DCF Enterprise Value</t>
  </si>
  <si>
    <t>Equity Value (DCF)</t>
  </si>
  <si>
    <t>WACC</t>
  </si>
  <si>
    <t>Terminal Growth Rate</t>
  </si>
  <si>
    <t>Analyst</t>
  </si>
  <si>
    <t>Akarsh Kumar Pandey</t>
  </si>
  <si>
    <t>Model Type</t>
  </si>
  <si>
    <t>3-Statement Financial Model – Formula Driven</t>
  </si>
  <si>
    <t>Data Source</t>
  </si>
  <si>
    <t>Ministry of Corporate Affairs (MCA) – Netflix Entertainment Services India LLP</t>
  </si>
  <si>
    <t>WACC Formula</t>
  </si>
  <si>
    <t>Rf + Beta x MRP  (CAPM) - All flows through DCF automatically</t>
  </si>
  <si>
    <t>Model Logic</t>
  </si>
  <si>
    <t>Change ANY yellow cell in Assumptions → entire IS / BS / CF / DCF updates</t>
  </si>
  <si>
    <t>SHEET INDEX &amp; FORMULA ARCHITECTURE</t>
  </si>
  <si>
    <t>Cover Page</t>
  </si>
  <si>
    <t>This sheet – live KPI boxes linked to model outputs</t>
  </si>
  <si>
    <t>Assumptions</t>
  </si>
  <si>
    <t>⭐ DRIVER SHEET – change yellow cells here to update entire model</t>
  </si>
  <si>
    <t>Income Statement</t>
  </si>
  <si>
    <t>Revenue, margins, NI – all formulas referencing Assumptions</t>
  </si>
  <si>
    <t>Balance Sheet</t>
  </si>
  <si>
    <t>Assets, liabilities, equity – RE rolls forward from IS Net Income</t>
  </si>
  <si>
    <t>Cash Flow</t>
  </si>
  <si>
    <t>OCF/ICF/FCF/Financing – all linked to IS + Assumptions</t>
  </si>
  <si>
    <t>DCF &amp; WACC</t>
  </si>
  <si>
    <t>CAPM, discount factors, terminal value – all real Excel formulas</t>
  </si>
  <si>
    <t>Sensitivity Analysis</t>
  </si>
  <si>
    <t>Two-way table; base case cell live-linked to DCF EV</t>
  </si>
  <si>
    <t>Comparable Companies</t>
  </si>
  <si>
    <t>Peer comps; Netflix India multiples live from DCF sheet</t>
  </si>
  <si>
    <t>Scenario Analysis</t>
  </si>
  <si>
    <t>Bull/Base/Bear; Base EV live-linked to DCF</t>
  </si>
  <si>
    <t>ASSUMPTIONS &amp; DRIVER SHEET – All Blue Cells Are Inputs  |  Yellow = Projection Assumptions  |  Green = Formula Outputs</t>
  </si>
  <si>
    <t>(₹ Crores)</t>
  </si>
  <si>
    <t>FY2021</t>
  </si>
  <si>
    <t>FY2022</t>
  </si>
  <si>
    <t>FY2023</t>
  </si>
  <si>
    <t>FY2024</t>
  </si>
  <si>
    <t>FY2025E</t>
  </si>
  <si>
    <t>FY2026P</t>
  </si>
  <si>
    <t>FY2027P</t>
  </si>
  <si>
    <t>FY2028P</t>
  </si>
  <si>
    <t>FY2029P</t>
  </si>
  <si>
    <t>FY2030P</t>
  </si>
  <si>
    <t xml:space="preserve">  SECTION 1: REVENUE ASSUMPTIONS</t>
  </si>
  <si>
    <t>Total Revenue (₹ Crores)</t>
  </si>
  <si>
    <t xml:space="preserve">  Revenue Growth Rate %</t>
  </si>
  <si>
    <t>-</t>
  </si>
  <si>
    <t xml:space="preserve">  SECTION 2: PROFITABILITY MARGIN ASSUMPTIONS  (change any cell → entire model updates)</t>
  </si>
  <si>
    <t xml:space="preserve">  Gross Margin %</t>
  </si>
  <si>
    <t xml:space="preserve">  EBITDA Margin %</t>
  </si>
  <si>
    <t xml:space="preserve">  EBIT / Operating Margin %</t>
  </si>
  <si>
    <t xml:space="preserve">  Tax Rate %</t>
  </si>
  <si>
    <t xml:space="preserve">  SECTION 3: COST STRUCTURE (% of Revenue)</t>
  </si>
  <si>
    <t xml:space="preserve">  Content Costs % Revenue</t>
  </si>
  <si>
    <t xml:space="preserve">  Technology % Revenue</t>
  </si>
  <si>
    <t xml:space="preserve">  Sales &amp; Marketing % Revenue</t>
  </si>
  <si>
    <t xml:space="preserve">  G&amp;A % Revenue</t>
  </si>
  <si>
    <t xml:space="preserve">  SECTION 4: OPERATIONAL KPIs</t>
  </si>
  <si>
    <t xml:space="preserve">  Subscribers (Millions)</t>
  </si>
  <si>
    <t xml:space="preserve">  ARPU Monthly (₹)</t>
  </si>
  <si>
    <t xml:space="preserve">  Market Share %</t>
  </si>
  <si>
    <t xml:space="preserve">  SECTION 5: SCHEDULE INPUTS – D&amp;A / CAPEX / CASH FLOW (₹ Crores – Absolute Values)</t>
  </si>
  <si>
    <t xml:space="preserve">  D&amp;A (₹ Cr)</t>
  </si>
  <si>
    <t xml:space="preserve">  Content Amortization (₹ Cr)</t>
  </si>
  <si>
    <t xml:space="preserve">  Stock-Based Comp (₹ Cr)</t>
  </si>
  <si>
    <t xml:space="preserve">  Content CapEx (₹ Cr) – outflow</t>
  </si>
  <si>
    <t xml:space="preserve">  PP&amp;E CapEx (₹ Cr) – outflow</t>
  </si>
  <si>
    <t xml:space="preserve">  NWC Change (₹ Cr)</t>
  </si>
  <si>
    <t xml:space="preserve">  DCF Maintenance CapEx % of Revenue (for FCF calc)</t>
  </si>
  <si>
    <t>Used only in DCF FCF calc; separate from full content CapEx in CF statement</t>
  </si>
  <si>
    <t xml:space="preserve">  Parent Capital Contributions (₹ Cr)</t>
  </si>
  <si>
    <t xml:space="preserve">  Share Buybacks (₹ Cr) – outflow</t>
  </si>
  <si>
    <t xml:space="preserve">  SECTION 6: DCF VALUATION PARAMETERS  (single values – used by DCF sheet)</t>
  </si>
  <si>
    <t xml:space="preserve">  Risk-Free Rate (India 10Y G-Sec)</t>
  </si>
  <si>
    <t>India 10Y G-Sec Dec 2025</t>
  </si>
  <si>
    <t xml:space="preserve">  Beta</t>
  </si>
  <si>
    <t>Netflix global unlevered; levered = unlevered (zero debt)</t>
  </si>
  <si>
    <t xml:space="preserve">  Market Risk Premium (MRP)</t>
  </si>
  <si>
    <t>Incwert India ERP Study 2025 (7th Ed.)</t>
  </si>
  <si>
    <t xml:space="preserve">  Cost of Equity (Ke) = Rf + β × MRP</t>
  </si>
  <si>
    <t>▶ FORMULA: =Risk-Free Rate + Beta × Market Risk Premium  (CAPM)</t>
  </si>
  <si>
    <t xml:space="preserve">  WACC (=Ke since zero debt)</t>
  </si>
  <si>
    <t>▶ FORMULA: =Equity Weight × Ke  (Debt Weight × Kd = 0)</t>
  </si>
  <si>
    <t xml:space="preserve">  Terminal Growth Rate (g)</t>
  </si>
  <si>
    <t>India long-term nominal GDP proxy</t>
  </si>
  <si>
    <t xml:space="preserve">  Equity Weight (E/V)</t>
  </si>
  <si>
    <t>100% equity financed – no debt</t>
  </si>
  <si>
    <t xml:space="preserve">  Debt Weight (D/V)</t>
  </si>
  <si>
    <t>Zero debt throughout model period</t>
  </si>
  <si>
    <t xml:space="preserve">  ⚠  YELLOW cells = projection assumptions (change these to run scenarios)</t>
  </si>
  <si>
    <t xml:space="preserve">  ⚠  GREY cells = historical actuals (do not change)</t>
  </si>
  <si>
    <t>INCOME STATEMENT – NETFLIX INDIA  (₹ Crores)  |  Green = Link  |  Black = Formula</t>
  </si>
  <si>
    <t xml:space="preserve">  REVENUE</t>
  </si>
  <si>
    <t>Total Revenue</t>
  </si>
  <si>
    <t xml:space="preserve">  YoY Revenue Growth %</t>
  </si>
  <si>
    <t xml:space="preserve">  COST OF REVENUE</t>
  </si>
  <si>
    <t xml:space="preserve">  Content Costs / Amortization</t>
  </si>
  <si>
    <t xml:space="preserve">  Technology &amp; Infrastructure</t>
  </si>
  <si>
    <t>Total Cost of Revenue</t>
  </si>
  <si>
    <t>GROSS PROFIT</t>
  </si>
  <si>
    <t xml:space="preserve">  OPERATING EXPENSES</t>
  </si>
  <si>
    <t xml:space="preserve">  Sales &amp; Marketing</t>
  </si>
  <si>
    <t xml:space="preserve">  Technology &amp; Development</t>
  </si>
  <si>
    <t xml:space="preserve">  General &amp; Administrative</t>
  </si>
  <si>
    <t>Total Operating Expenses</t>
  </si>
  <si>
    <t xml:space="preserve">  PROFITABILITY</t>
  </si>
  <si>
    <t>EBITDA</t>
  </si>
  <si>
    <t xml:space="preserve">  Depreciation &amp; Amortization</t>
  </si>
  <si>
    <t>EBIT / Operating Income</t>
  </si>
  <si>
    <t xml:space="preserve">  Operating Margin %</t>
  </si>
  <si>
    <t>Pre-Tax Income</t>
  </si>
  <si>
    <t xml:space="preserve">  Income Tax</t>
  </si>
  <si>
    <t xml:space="preserve">  Effective Tax Rate %</t>
  </si>
  <si>
    <t>NET INCOME (PAT)</t>
  </si>
  <si>
    <t xml:space="preserve">  Net Margin %</t>
  </si>
  <si>
    <t xml:space="preserve">  OPERATIONAL KPIs (linked from Assumptions)</t>
  </si>
  <si>
    <t xml:space="preserve">  FORMULA LEGEND</t>
  </si>
  <si>
    <t xml:space="preserve">  Blue cells</t>
  </si>
  <si>
    <t>Hardcoded inputs in Assumptions sheet</t>
  </si>
  <si>
    <t xml:space="preserve">  Green cells</t>
  </si>
  <si>
    <t>Direct cross-sheet link (=Assumptions!...)</t>
  </si>
  <si>
    <t xml:space="preserve">  Black cells</t>
  </si>
  <si>
    <t>Formula calculated from other cells (see formula bar when clicking any black cell)</t>
  </si>
  <si>
    <t>BALANCE SHEET – NETFLIX INDIA  (₹ Crores)</t>
  </si>
  <si>
    <t xml:space="preserve">  ASSETS</t>
  </si>
  <si>
    <t xml:space="preserve">  Cash &amp; Cash Equivalents</t>
  </si>
  <si>
    <t xml:space="preserve">  Marketable Securities</t>
  </si>
  <si>
    <t xml:space="preserve">  Trade Receivables</t>
  </si>
  <si>
    <t xml:space="preserve">  Prepaid Expenses &amp; Other</t>
  </si>
  <si>
    <t>TOTAL CURRENT ASSETS</t>
  </si>
  <si>
    <t xml:space="preserve">  Content Library (Net)</t>
  </si>
  <si>
    <t xml:space="preserve">  Property &amp; Equipment (Net)</t>
  </si>
  <si>
    <t xml:space="preserve">  Intangibles &amp; Goodwill</t>
  </si>
  <si>
    <t xml:space="preserve">  Other Non-Current Assets</t>
  </si>
  <si>
    <t>TOTAL NON-CURRENT ASSETS</t>
  </si>
  <si>
    <t>TOTAL ASSETS</t>
  </si>
  <si>
    <t xml:space="preserve">  LIABILITIES &amp; EQUITY</t>
  </si>
  <si>
    <t xml:space="preserve">  Trade Payables</t>
  </si>
  <si>
    <t xml:space="preserve">  Accrued Expenses</t>
  </si>
  <si>
    <t xml:space="preserve">  Deferred Revenue</t>
  </si>
  <si>
    <t xml:space="preserve">  Current Content Liabilities</t>
  </si>
  <si>
    <t>TOTAL CURRENT LIABILITIES</t>
  </si>
  <si>
    <t xml:space="preserve">  Long-Term Debt (Zero)</t>
  </si>
  <si>
    <t xml:space="preserve">  Content Liabilities (LT)</t>
  </si>
  <si>
    <t xml:space="preserve">  Deferred Tax Liabilities</t>
  </si>
  <si>
    <t>TOTAL NON-CURRENT LIAB.</t>
  </si>
  <si>
    <t xml:space="preserve">  Common Stock / Paid-in Capital</t>
  </si>
  <si>
    <t xml:space="preserve">  Retained Earnings</t>
  </si>
  <si>
    <t xml:space="preserve">  Treasury Stock (Buybacks)</t>
  </si>
  <si>
    <t xml:space="preserve">  Other Equity</t>
  </si>
  <si>
    <t>TOTAL SHAREHOLDERS' EQUITY</t>
  </si>
  <si>
    <t>TOTAL LIAB. &amp; EQUITY  (Check = 0 if balanced)</t>
  </si>
  <si>
    <t>CASH FLOW STATEMENT – NETFLIX INDIA  (₹ Crores)</t>
  </si>
  <si>
    <t xml:space="preserve">  OPERATING ACTIVITIES</t>
  </si>
  <si>
    <t xml:space="preserve">  Net Income (PAT)</t>
  </si>
  <si>
    <t xml:space="preserve">  Add: Depreciation &amp; Amortization</t>
  </si>
  <si>
    <t xml:space="preserve">  Add: Content Amortization</t>
  </si>
  <si>
    <t xml:space="preserve">  Add: Stock-Based Compensation</t>
  </si>
  <si>
    <t xml:space="preserve">  Changes in Working Capital</t>
  </si>
  <si>
    <t>NET OPERATING CASH FLOW</t>
  </si>
  <si>
    <t xml:space="preserve">  INVESTING ACTIVITIES</t>
  </si>
  <si>
    <t xml:space="preserve">  Content CapEx (outflow)</t>
  </si>
  <si>
    <t xml:space="preserve">  PP&amp;E / Technology CapEx (outflow)</t>
  </si>
  <si>
    <t xml:space="preserve">  Other Investing Activities</t>
  </si>
  <si>
    <t>NET INVESTING CASH FLOW</t>
  </si>
  <si>
    <t xml:space="preserve">  FREE CASH FLOW</t>
  </si>
  <si>
    <t>FREE CASH FLOW (OCF + Total CapEx)</t>
  </si>
  <si>
    <t xml:space="preserve">  FCF Margin %</t>
  </si>
  <si>
    <t xml:space="preserve">  FINANCING ACTIVITIES</t>
  </si>
  <si>
    <t xml:space="preserve">  Debt Issuance / (Repayment)</t>
  </si>
  <si>
    <t xml:space="preserve">  Share Buybacks</t>
  </si>
  <si>
    <t xml:space="preserve">  Dividend Payments</t>
  </si>
  <si>
    <t xml:space="preserve">  Parent Capital Contributions</t>
  </si>
  <si>
    <t>NET FINANCING CASH FLOW</t>
  </si>
  <si>
    <t xml:space="preserve">  CASH POSITION RECONCILIATION</t>
  </si>
  <si>
    <t xml:space="preserve">  Beginning Cash Balance</t>
  </si>
  <si>
    <t xml:space="preserve">  Net Change in Cash</t>
  </si>
  <si>
    <t>ENDING CASH BALANCE</t>
  </si>
  <si>
    <t>DCF VALUATION &amp; WACC – NETFLIX INDIA  |  All cells formula-driven from Assumptions</t>
  </si>
  <si>
    <t xml:space="preserve">  WACC CALCULATION  (all values link from Assumptions – change Assumptions!B42:B49 to update)</t>
  </si>
  <si>
    <t xml:space="preserve">  Risk-Free Rate (Rf) – India 10Y G-Sec</t>
  </si>
  <si>
    <t>Source: India 10Y G-Sec (Dec 2025)</t>
  </si>
  <si>
    <t xml:space="preserve">  Beta (Technology / Streaming Sector avg.)</t>
  </si>
  <si>
    <t>Netflix global; unlevered = levered (zero debt)</t>
  </si>
  <si>
    <t xml:space="preserve">  Cost of Equity (Ke = Rf + β × MRP)  ←CAPM</t>
  </si>
  <si>
    <t>▶ CAPM formula in Assumptions: =Rf + Beta x MRP</t>
  </si>
  <si>
    <t xml:space="preserve">  WACC  (= Ke, since Netflix India is debt-free)</t>
  </si>
  <si>
    <t>▶ =Equity_Weight x Ke  (Debt=0, so WACC = Ke)</t>
  </si>
  <si>
    <t xml:space="preserve">  PROJECTED FREE CASH FLOW &amp; PRESENT VALUE  (FY2026P – FY2030P)</t>
  </si>
  <si>
    <t>Notes</t>
  </si>
  <si>
    <t>Revenue (₹ Cr)</t>
  </si>
  <si>
    <t>Less: Tax @ 25% (NOPAT)</t>
  </si>
  <si>
    <t>NOPAT = EBIT × (1-Tax)</t>
  </si>
  <si>
    <t>Add: D&amp;A</t>
  </si>
  <si>
    <t>Less: CapEx</t>
  </si>
  <si>
    <t>Less: Δ Working Capital</t>
  </si>
  <si>
    <t>UNLEVERED FREE CASH FLOW</t>
  </si>
  <si>
    <t>Discount Period</t>
  </si>
  <si>
    <t>Discount Factor @WACC</t>
  </si>
  <si>
    <t>PV of FCF (₹ Cr)</t>
  </si>
  <si>
    <t xml:space="preserve">  TERMINAL VALUE CALCULATION  (Gordon Growth Model – all formula driven)</t>
  </si>
  <si>
    <t>FCF Year 2031E  = FCF₂₀₃₀ × (1 + TGR)</t>
  </si>
  <si>
    <t>▶ FORMULA: =FCF_FY2030 × (1 + Terminal Growth Rate)</t>
  </si>
  <si>
    <t>TERMINAL VALUE  = FCF₂₀₃₁ / (WACC – TGR)</t>
  </si>
  <si>
    <t>▶ FORMULA: =FCF_2031 / (WACC − TGR)  =  FCF_2031 / (14.66% − 4.50%)</t>
  </si>
  <si>
    <t>PV of Terminal Value  = TV × Discount Factor Year 5</t>
  </si>
  <si>
    <t>▶ FORMULA: =Terminal Value × Discount Factor (Year 5)</t>
  </si>
  <si>
    <t xml:space="preserve">  ENTERPRISE VALUE → EQUITY VALUE BRIDGE  (Formula-driven)</t>
  </si>
  <si>
    <t>Sum of PV of FCFs (FY2026–FY2030)</t>
  </si>
  <si>
    <t>PV of Terminal Value</t>
  </si>
  <si>
    <t>ENTERPRISE VALUE (DCF)</t>
  </si>
  <si>
    <t>(+) Cash &amp; Cash Equivalents</t>
  </si>
  <si>
    <t>(+) Marketable Securities</t>
  </si>
  <si>
    <t>(−) Total Debt</t>
  </si>
  <si>
    <t>EQUITY VALUE (DCF)</t>
  </si>
  <si>
    <t xml:space="preserve">  IMPLIED VALUATION MULTIPLES  (formula-driven – update when assumptions change)</t>
  </si>
  <si>
    <t>Multiple</t>
  </si>
  <si>
    <t>FY25E Base</t>
  </si>
  <si>
    <t>Implied</t>
  </si>
  <si>
    <t>Peer Median</t>
  </si>
  <si>
    <t>Premium vs. Peers</t>
  </si>
  <si>
    <t xml:space="preserve">  EV / Revenue (FY25E)</t>
  </si>
  <si>
    <t xml:space="preserve">  EV / EBITDA (FY25E)</t>
  </si>
  <si>
    <t>SENSITIVITY ANALYSIS – EV vs. WACC &amp; Terminal Growth Rate  |  Data tables calculated from model</t>
  </si>
  <si>
    <t xml:space="preserve">  TWO-WAY SENSITIVITY: Enterprise Value (₹ Crores) vs. WACC × Terminal Growth Rate</t>
  </si>
  <si>
    <t>▶  These values are calculated using the same FCF stream from the model.</t>
  </si>
  <si>
    <t>▶  Change Assumptions!B42-B47 to update WACC/TGR, and the base case cell below updates automatically.</t>
  </si>
  <si>
    <t>WACC ↓ / TGR →</t>
  </si>
  <si>
    <t>3.5%</t>
  </si>
  <si>
    <t>4.0%</t>
  </si>
  <si>
    <t>4.5%</t>
  </si>
  <si>
    <t>5.0%</t>
  </si>
  <si>
    <t>5.5%</t>
  </si>
  <si>
    <t>12.00%</t>
  </si>
  <si>
    <t>13.00%</t>
  </si>
  <si>
    <t>14.66%</t>
  </si>
  <si>
    <t>15.00%</t>
  </si>
  <si>
    <t>16.00%</t>
  </si>
  <si>
    <t>17.00%</t>
  </si>
  <si>
    <t xml:space="preserve">  ONE-WAY: REVENUE CAGR IMPACT  |  Orange = live base case from DCF sheet</t>
  </si>
  <si>
    <t>Revenue CAGR</t>
  </si>
  <si>
    <t>Scenario</t>
  </si>
  <si>
    <t>Enterprise Value (₹ Cr)</t>
  </si>
  <si>
    <t>vs. Base</t>
  </si>
  <si>
    <t>Equity Value (₹ Cr)</t>
  </si>
  <si>
    <t>Note</t>
  </si>
  <si>
    <t>10%</t>
  </si>
  <si>
    <t>Conservative</t>
  </si>
  <si>
    <t>Market saturation + pricing wars</t>
  </si>
  <si>
    <t>12%</t>
  </si>
  <si>
    <t>Below Base</t>
  </si>
  <si>
    <t>Moderate growth, comp pressure</t>
  </si>
  <si>
    <t>14%</t>
  </si>
  <si>
    <t>BASE CASE</t>
  </si>
  <si>
    <t>Primary forecast – live DCF value</t>
  </si>
  <si>
    <t>16%</t>
  </si>
  <si>
    <t>Above Base</t>
  </si>
  <si>
    <t>Bundling + ad-tier acceleration</t>
  </si>
  <si>
    <t>18%</t>
  </si>
  <si>
    <t>Upside</t>
  </si>
  <si>
    <t>Strong content + subs growth</t>
  </si>
  <si>
    <t>20%</t>
  </si>
  <si>
    <t>Strong Growth</t>
  </si>
  <si>
    <t>Bull case execution</t>
  </si>
  <si>
    <t>COMPARABLE COMPANY ANALYSIS – NETFLIX INDIA</t>
  </si>
  <si>
    <t xml:space="preserve">  TRADING COMPARABLES – INDIAN OTT MARKET  (₹ Crores)</t>
  </si>
  <si>
    <t>Company</t>
  </si>
  <si>
    <t>Country</t>
  </si>
  <si>
    <t>Market Cap</t>
  </si>
  <si>
    <t>EV/Revenue</t>
  </si>
  <si>
    <t>EV/EBITDA</t>
  </si>
  <si>
    <t>Rev Growth</t>
  </si>
  <si>
    <t>EBITDA Margin</t>
  </si>
  <si>
    <t>vs. Netflix India</t>
  </si>
  <si>
    <t>JioCinema/Disney+Hotstar</t>
  </si>
  <si>
    <t>India</t>
  </si>
  <si>
    <t>₹32,000 Cr</t>
  </si>
  <si>
    <t>3.2x</t>
  </si>
  <si>
    <t>9.5x</t>
  </si>
  <si>
    <t>8-10%</t>
  </si>
  <si>
    <t>30-35%</t>
  </si>
  <si>
    <t>Netflix +38% premium</t>
  </si>
  <si>
    <t>Amazon Prime Video</t>
  </si>
  <si>
    <t>Bundled</t>
  </si>
  <si>
    <t>4.5x</t>
  </si>
  <si>
    <t>10.2x</t>
  </si>
  <si>
    <t>12-15%</t>
  </si>
  <si>
    <t>25-30%</t>
  </si>
  <si>
    <t>Netflix -2%</t>
  </si>
  <si>
    <t>Zee5</t>
  </si>
  <si>
    <t>₹5,200 Cr</t>
  </si>
  <si>
    <t>2.1x</t>
  </si>
  <si>
    <t>7.8x</t>
  </si>
  <si>
    <t>6-8%</t>
  </si>
  <si>
    <t>28-32%</t>
  </si>
  <si>
    <t>Netflix +111%</t>
  </si>
  <si>
    <t>Sony LIV</t>
  </si>
  <si>
    <t>₹2,500 Cr</t>
  </si>
  <si>
    <t>1.8x</t>
  </si>
  <si>
    <t>6.5x</t>
  </si>
  <si>
    <t>4-6%</t>
  </si>
  <si>
    <t>20-25%</t>
  </si>
  <si>
    <t>Netflix +146%</t>
  </si>
  <si>
    <t>Netflix (Global)</t>
  </si>
  <si>
    <t>USA</t>
  </si>
  <si>
    <t>$265 Billion</t>
  </si>
  <si>
    <t>7.5x</t>
  </si>
  <si>
    <t>35.2x</t>
  </si>
  <si>
    <t>13-15%</t>
  </si>
  <si>
    <t>42-45%</t>
  </si>
  <si>
    <t>Global benchmark</t>
  </si>
  <si>
    <t>NETFLIX INDIA (DCF)</t>
  </si>
  <si>
    <t>14.0%</t>
  </si>
  <si>
    <t>40.0%</t>
  </si>
  <si>
    <t>BASE CASE ← LIVE</t>
  </si>
  <si>
    <t>SCENARIO ANALYSIS – BULL / BASE / BEAR  (Base Case EV is live from DCF sheet)</t>
  </si>
  <si>
    <t>Assumption</t>
  </si>
  <si>
    <t>BULL  (25%)</t>
  </si>
  <si>
    <t>BASE  (50%)</t>
  </si>
  <si>
    <t>BEAR  (25%)</t>
  </si>
  <si>
    <t>Probability Wtd</t>
  </si>
  <si>
    <t>14.5%</t>
  </si>
  <si>
    <t>Terminal Growth</t>
  </si>
  <si>
    <t>12.0%</t>
  </si>
  <si>
    <t>16.0%</t>
  </si>
  <si>
    <t>14.4%</t>
  </si>
  <si>
    <t>EBIT Margin FY30</t>
  </si>
  <si>
    <t>25%</t>
  </si>
  <si>
    <t>15%</t>
  </si>
  <si>
    <t>16.3%</t>
  </si>
  <si>
    <t>Subscribers 2030</t>
  </si>
  <si>
    <t>50M+</t>
  </si>
  <si>
    <t>44M</t>
  </si>
  <si>
    <t>35M</t>
  </si>
  <si>
    <t>~43M</t>
  </si>
  <si>
    <t>ENTERPRISE VALUE</t>
  </si>
  <si>
    <t>₹22,456 Cr</t>
  </si>
  <si>
    <t>₹11,234 Cr</t>
  </si>
  <si>
    <t>₹16,757 Cr</t>
  </si>
  <si>
    <t xml:space="preserve">  PROBABILITY-WEIGHTED VALUATION  (Base case EV is a live link)</t>
  </si>
  <si>
    <t>Probability</t>
  </si>
  <si>
    <t>EV (₹ Cr)</t>
  </si>
  <si>
    <t>Contribution (₹ Cr)</t>
  </si>
  <si>
    <t>Bull Case</t>
  </si>
  <si>
    <t>Base Case</t>
  </si>
  <si>
    <t>Bear Case</t>
  </si>
  <si>
    <t>BLENDED FAIR VALUE</t>
  </si>
  <si>
    <t>REVENUE SCHEDULE – NETFLIX INDIA  (₹ Crores)  |  PDF Reference: Section 4 &amp; Appendix</t>
  </si>
  <si>
    <t xml:space="preserve">  1. REVENUE OVERVIEW (₹ Crores)</t>
  </si>
  <si>
    <t>Total Revenue (₹ Cr)</t>
  </si>
  <si>
    <t>YoY Revenue Growth %</t>
  </si>
  <si>
    <t>4-Year CAGR (FY21–25E)</t>
  </si>
  <si>
    <t>10-Year CAGR (FY21–30P)</t>
  </si>
  <si>
    <t xml:space="preserve">  2. SUBSCRIBER ANALYSIS &amp; ARPU (Assumptions Driver → links to main model)</t>
  </si>
  <si>
    <t>Total Paid Subscribers (Millions)</t>
  </si>
  <si>
    <t>YoY Subscriber Additions (M)</t>
  </si>
  <si>
    <t>YoY Subscriber Growth %</t>
  </si>
  <si>
    <t>ARPU Annual (₹/year)</t>
  </si>
  <si>
    <t>ARPU Monthly (₹/month)</t>
  </si>
  <si>
    <t>YoY ARPU Growth %</t>
  </si>
  <si>
    <t>Market Share % of Indian OTT</t>
  </si>
  <si>
    <t xml:space="preserve">  3. REVENUE BY SUBSCRIPTION TIER (₹ Crores)  |  PDF: Subscription Revenue = 94% of Total</t>
  </si>
  <si>
    <t>Tier / Plan</t>
  </si>
  <si>
    <t>Price/Month</t>
  </si>
  <si>
    <t>Mobile</t>
  </si>
  <si>
    <t>₹149/mo</t>
  </si>
  <si>
    <t>Basic</t>
  </si>
  <si>
    <t>₹199/mo</t>
  </si>
  <si>
    <t>Standard</t>
  </si>
  <si>
    <t>₹499/mo</t>
  </si>
  <si>
    <t>Premium</t>
  </si>
  <si>
    <t>₹649/mo</t>
  </si>
  <si>
    <t>Ad-Supported</t>
  </si>
  <si>
    <t>Varies</t>
  </si>
  <si>
    <t>TOTAL SUBSCRIPTION REV.</t>
  </si>
  <si>
    <t>—</t>
  </si>
  <si>
    <t xml:space="preserve">  4. GEOGRAPHIC REVENUE MIX (₹ Crores)  |  100% India Streaming</t>
  </si>
  <si>
    <t>Segment</t>
  </si>
  <si>
    <t>India Streaming (Metro)</t>
  </si>
  <si>
    <t>India Streaming (Suburban)</t>
  </si>
  <si>
    <t>India Streaming (Rural)</t>
  </si>
  <si>
    <t>International/Other</t>
  </si>
  <si>
    <t>TOTAL REVENUE</t>
  </si>
  <si>
    <t xml:space="preserve">  5. REVENUE CAGR ANALYSIS</t>
  </si>
  <si>
    <t>Period</t>
  </si>
  <si>
    <t>YoY Growth</t>
  </si>
  <si>
    <t>CAGR</t>
  </si>
  <si>
    <t>Commentary</t>
  </si>
  <si>
    <t>Base year – post-COVID streaming acceleration</t>
  </si>
  <si>
    <t>93.4% surge – pandemic streaming boom peak</t>
  </si>
  <si>
    <t>Normalization; market competition increases</t>
  </si>
  <si>
    <t>Steady growth; telecom bundling gains traction</t>
  </si>
  <si>
    <t>32.4% rebound; ad-tier + bundling momentum</t>
  </si>
  <si>
    <t>Market maturation; ad-tier scaling</t>
  </si>
  <si>
    <t>ARPU recovery + ad revenue acceleration</t>
  </si>
  <si>
    <t>Consolidation phase growth</t>
  </si>
  <si>
    <t>Market maturity; competition impact</t>
  </si>
  <si>
    <t>Aligns with India nominal GDP; 10-yr CAGR=24.7%</t>
  </si>
  <si>
    <t>EXPENSE &amp; COST SCHEDULE – NETFLIX INDIA  (₹ Crores)  |  All amounts verified from MCA Filings</t>
  </si>
  <si>
    <t xml:space="preserve">  1. COST OF REVENUE SCHEDULE (₹ Crores)</t>
  </si>
  <si>
    <t>Cost Item</t>
  </si>
  <si>
    <t>TOTAL COST OF REVENUE</t>
  </si>
  <si>
    <t xml:space="preserve">  As % of Revenue</t>
  </si>
  <si>
    <t xml:space="preserve">  Content % of Revenue</t>
  </si>
  <si>
    <t xml:space="preserve">  Tech CoR % of Revenue</t>
  </si>
  <si>
    <t xml:space="preserve">  2. OPERATING EXPENSE SCHEDULE (₹ Crores)</t>
  </si>
  <si>
    <t>OpEx Item</t>
  </si>
  <si>
    <t>Sales &amp; Marketing</t>
  </si>
  <si>
    <t xml:space="preserve">      S&amp;M as % Revenue</t>
  </si>
  <si>
    <t>Technology &amp; Development</t>
  </si>
  <si>
    <t xml:space="preserve">      Tech Dev as % Revenue</t>
  </si>
  <si>
    <t>General &amp; Administrative</t>
  </si>
  <si>
    <t xml:space="preserve">      G&amp;A as % Revenue</t>
  </si>
  <si>
    <t>TOTAL OPERATING EXPENSES</t>
  </si>
  <si>
    <t xml:space="preserve">      Total OpEx as % Revenue</t>
  </si>
  <si>
    <t xml:space="preserve">  3. COST STRUCTURE WATERFALL – % of Revenue (trend analysis)</t>
  </si>
  <si>
    <t>Cost Line</t>
  </si>
  <si>
    <t>Revenue</t>
  </si>
  <si>
    <t>(-) Content Costs</t>
  </si>
  <si>
    <t>(-) Tech (CoR)</t>
  </si>
  <si>
    <t>GROSS PROFIT MARGIN %</t>
  </si>
  <si>
    <t>(-) Sales &amp; Mktg</t>
  </si>
  <si>
    <t>(-) Tech Dev</t>
  </si>
  <si>
    <t>(-) G&amp;A</t>
  </si>
  <si>
    <t>EBITDA MARGIN %</t>
  </si>
  <si>
    <t>(-) D&amp;A / Content Amort</t>
  </si>
  <si>
    <t>EBIT MARGIN %</t>
  </si>
  <si>
    <t>(-) Tax</t>
  </si>
  <si>
    <t>NET PROFIT MARGIN %</t>
  </si>
  <si>
    <t xml:space="preserve">  4. TAX SCHEDULE – Effective Rate &amp; Normalization</t>
  </si>
  <si>
    <t>Year</t>
  </si>
  <si>
    <t>Pretax Profit</t>
  </si>
  <si>
    <t>Income Tax</t>
  </si>
  <si>
    <t>Effective Rate</t>
  </si>
  <si>
    <t>Normalized Rate</t>
  </si>
  <si>
    <t>Methodology</t>
  </si>
  <si>
    <t>Actual MCA filing</t>
  </si>
  <si>
    <t>Normalized to 25%</t>
  </si>
  <si>
    <t>BALANCE SHEET COMPONENT SCHEDULES – NETFLIX INDIA  (₹ Crores)</t>
  </si>
  <si>
    <t xml:space="preserve">  1. FIXED ASSETS (PP&amp;E) ROLL-FORWARD SCHEDULE (₹ Crores)</t>
  </si>
  <si>
    <t>Opening Gross</t>
  </si>
  <si>
    <t>CapEx Adds</t>
  </si>
  <si>
    <t>Depreciation</t>
  </si>
  <si>
    <t>Closing Gross</t>
  </si>
  <si>
    <t>Accum. Depr.</t>
  </si>
  <si>
    <t>Net PP&amp;E</t>
  </si>
  <si>
    <t>CapEx/Rev%</t>
  </si>
  <si>
    <t xml:space="preserve">  2. CONTENT ASSETS SCHEDULE (₹ Crores)  |  Netflix amortizes content as it airs</t>
  </si>
  <si>
    <t>Opening Net</t>
  </si>
  <si>
    <t>Cash Spending</t>
  </si>
  <si>
    <t>Amortization</t>
  </si>
  <si>
    <t>Closing Net</t>
  </si>
  <si>
    <t>Spend/Rev%</t>
  </si>
  <si>
    <t>Amort/Rev%</t>
  </si>
  <si>
    <t xml:space="preserve">  3. WORKING CAPITAL SCHEDULE (₹ Crores)</t>
  </si>
  <si>
    <t>Trade Receivables</t>
  </si>
  <si>
    <t>% Revenue</t>
  </si>
  <si>
    <t>Trade Payables</t>
  </si>
  <si>
    <t>% Expenses</t>
  </si>
  <si>
    <t>NWC Δ</t>
  </si>
  <si>
    <t>Hist.</t>
  </si>
  <si>
    <t>Proj – AR=Rev×15/365</t>
  </si>
  <si>
    <t>Proj</t>
  </si>
  <si>
    <t xml:space="preserve">  4. DEBT SCHEDULE  |  Netflix India = 100% EQUITY FINANCED throughout model period</t>
  </si>
  <si>
    <t>Opening Debt</t>
  </si>
  <si>
    <t>New Borrowings</t>
  </si>
  <si>
    <t>Repayments</t>
  </si>
  <si>
    <t>Closing Debt</t>
  </si>
  <si>
    <t>Interest Rate</t>
  </si>
  <si>
    <t>Kd (Post-Tax)</t>
  </si>
  <si>
    <t>N/A</t>
  </si>
  <si>
    <t>Zero debt – equity only</t>
  </si>
  <si>
    <t>DETAILED CASH FLOW SCHEDULES – NETFLIX INDIA  (₹ Crores)</t>
  </si>
  <si>
    <t xml:space="preserve">  1. OPERATING CASH FLOW – DETAILED SCHEDULE (₹ Crores)</t>
  </si>
  <si>
    <t>Line Item</t>
  </si>
  <si>
    <t xml:space="preserve">    Net Income (PAT)</t>
  </si>
  <si>
    <t xml:space="preserve">    + Depreciation &amp; Amortization</t>
  </si>
  <si>
    <t xml:space="preserve">    + Content Amortization</t>
  </si>
  <si>
    <t xml:space="preserve">    + Stock-Based Compensation</t>
  </si>
  <si>
    <t xml:space="preserve">    + Deferred Taxes</t>
  </si>
  <si>
    <t xml:space="preserve">    Δ Working Capital</t>
  </si>
  <si>
    <t xml:space="preserve">    OCF Margin %</t>
  </si>
  <si>
    <t xml:space="preserve">    OCF Growth %</t>
  </si>
  <si>
    <t xml:space="preserve">  2. INVESTING CASH FLOW – DETAILED SCHEDULE (₹ Crores)</t>
  </si>
  <si>
    <t xml:space="preserve">    Content CapEx (Cash Outflow)</t>
  </si>
  <si>
    <t xml:space="preserve">    PP&amp;E / Technology CapEx</t>
  </si>
  <si>
    <t xml:space="preserve">    Other Investing Activities</t>
  </si>
  <si>
    <t xml:space="preserve">    Total CapEx as % Revenue</t>
  </si>
  <si>
    <t xml:space="preserve">    Content CapEx as % Revenue</t>
  </si>
  <si>
    <t xml:space="preserve">  3. FREE CASH FLOW CALCULATION &amp; MARGIN ANALYSIS</t>
  </si>
  <si>
    <t>Net Op. CF</t>
  </si>
  <si>
    <t>Free Cash Flow</t>
  </si>
  <si>
    <t>FCF Margin %</t>
  </si>
  <si>
    <t>Min Cash (5% Rev)</t>
  </si>
  <si>
    <t>FCF/NI Ratio</t>
  </si>
  <si>
    <t xml:space="preserve">  4. FINANCING CASH FLOW SCHEDULE (₹ Crores)</t>
  </si>
  <si>
    <t xml:space="preserve">    Share Buybacks (outflow)</t>
  </si>
  <si>
    <t xml:space="preserve">    Parent Capital Contributions</t>
  </si>
  <si>
    <t xml:space="preserve">    Debt Repayments / Issuance</t>
  </si>
  <si>
    <t xml:space="preserve">    Dividend Payments</t>
  </si>
  <si>
    <t xml:space="preserve">    Cumulative Buybacks (₹ Cr)</t>
  </si>
  <si>
    <t xml:space="preserve">    Cumulative Parent Contributions</t>
  </si>
  <si>
    <t xml:space="preserve">  5. CASH POSITION RECONCILIATION (₹ Crores)</t>
  </si>
  <si>
    <t>Opening Cash</t>
  </si>
  <si>
    <t>Net Op. Δ</t>
  </si>
  <si>
    <t>Net Inv. Δ</t>
  </si>
  <si>
    <t>Net Fin. Δ</t>
  </si>
  <si>
    <t>Net Δ Cash</t>
  </si>
  <si>
    <t>Closing Cash</t>
  </si>
  <si>
    <t>Min.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</si>
</sst>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0.0000"/>
    <numFmt numFmtId="167" formatCode="0.00\x"/>
    <numFmt numFmtId="168" formatCode="\+0.0%;\-0.0%;\-"/>
  </numFmts>
  <fonts count="22" x14ac:knownFonts="1">
    <font>
      <sz val="11"/>
      <color theme="1"/>
      <name val="Calibri"/>
      <family val="2"/>
      <charset val="1"/>
    </font>
    <font>
      <b/>
      <sz val="36"/>
      <color rgb="FFFFFFFF"/>
      <name val="Arial"/>
      <charset val="1"/>
    </font>
    <font>
      <b/>
      <sz val="14"/>
      <color rgb="FFFFFFFF"/>
      <name val="Arial"/>
      <charset val="1"/>
    </font>
    <font>
      <i/>
      <sz val="11"/>
      <color rgb="FF2C3E50"/>
      <name val="Arial"/>
      <charset val="1"/>
    </font>
    <font>
      <sz val="8"/>
      <color rgb="FFFFFFFF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sz val="9"/>
      <color rgb="FF006400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b/>
      <sz val="9"/>
      <color rgb="FFC0392B"/>
      <name val="Arial"/>
      <charset val="1"/>
    </font>
    <font>
      <i/>
      <sz val="8"/>
      <color rgb="FF566573"/>
      <name val="Arial"/>
      <charset val="1"/>
    </font>
    <font>
      <sz val="9"/>
      <color rgb="FF0000FF"/>
      <name val="Arial"/>
      <charset val="1"/>
    </font>
    <font>
      <sz val="9"/>
      <color rgb="FF566573"/>
      <name val="Arial"/>
      <charset val="1"/>
    </font>
    <font>
      <sz val="8"/>
      <color rgb="FF006400"/>
      <name val="Arial"/>
      <charset val="1"/>
    </font>
    <font>
      <b/>
      <sz val="9"/>
      <color rgb="FF006400"/>
      <name val="Arial"/>
      <charset val="1"/>
    </font>
    <font>
      <i/>
      <sz val="8"/>
      <color rgb="FF006400"/>
      <name val="Arial"/>
      <charset val="1"/>
    </font>
    <font>
      <b/>
      <sz val="9"/>
      <color rgb="FF0000FF"/>
      <name val="Arial"/>
      <charset val="1"/>
    </font>
    <font>
      <sz val="9"/>
      <color rgb="FFFFFFFF"/>
      <name val="Arial"/>
      <charset val="1"/>
    </font>
    <font>
      <sz val="9"/>
      <color rgb="FFC0392B"/>
      <name val="Arial"/>
      <charset val="1"/>
    </font>
    <font>
      <sz val="9"/>
      <color rgb="FF1B5E20"/>
      <name val="Arial"/>
      <charset val="1"/>
    </font>
  </fonts>
  <fills count="21">
    <fill>
      <patternFill patternType="none"/>
    </fill>
    <fill>
      <patternFill patternType="gray125"/>
    </fill>
    <fill>
      <patternFill patternType="solid">
        <fgColor rgb="FFC0392B"/>
        <bgColor rgb="FFB71C1C"/>
      </patternFill>
    </fill>
    <fill>
      <patternFill patternType="solid">
        <fgColor rgb="FFE74C3C"/>
        <bgColor rgb="FFC0392B"/>
      </patternFill>
    </fill>
    <fill>
      <patternFill patternType="solid">
        <fgColor rgb="FF2C3E50"/>
        <bgColor rgb="FF333399"/>
      </patternFill>
    </fill>
    <fill>
      <patternFill patternType="solid">
        <fgColor rgb="FF566573"/>
        <bgColor rgb="FF808080"/>
      </patternFill>
    </fill>
    <fill>
      <patternFill patternType="solid">
        <fgColor rgb="FFF2F3F4"/>
        <bgColor rgb="FFE8F5E9"/>
      </patternFill>
    </fill>
    <fill>
      <patternFill patternType="solid">
        <fgColor rgb="FFFFFFFF"/>
        <bgColor rgb="FFFFFDE7"/>
      </patternFill>
    </fill>
    <fill>
      <patternFill patternType="solid">
        <fgColor rgb="FFFFFF00"/>
        <bgColor rgb="FFFFFF00"/>
      </patternFill>
    </fill>
    <fill>
      <patternFill patternType="solid">
        <fgColor rgb="FFFADBD8"/>
        <bgColor rgb="FFFFCDD2"/>
      </patternFill>
    </fill>
    <fill>
      <patternFill patternType="solid">
        <fgColor rgb="FFC8E6C9"/>
        <bgColor rgb="FFE8F5E9"/>
      </patternFill>
    </fill>
    <fill>
      <patternFill patternType="solid">
        <fgColor rgb="FFFFF9C4"/>
        <bgColor rgb="FFFFFDE7"/>
      </patternFill>
    </fill>
    <fill>
      <patternFill patternType="solid">
        <fgColor rgb="FFFFCDD2"/>
        <bgColor rgb="FFFADBD8"/>
      </patternFill>
    </fill>
    <fill>
      <patternFill patternType="solid">
        <fgColor rgb="FFFF8A65"/>
        <bgColor rgb="FFFF9900"/>
      </patternFill>
    </fill>
    <fill>
      <patternFill patternType="solid">
        <fgColor rgb="FF1B5E20"/>
        <bgColor rgb="FF006400"/>
      </patternFill>
    </fill>
    <fill>
      <patternFill patternType="solid">
        <fgColor rgb="FFB71C1C"/>
        <bgColor rgb="FFC0392B"/>
      </patternFill>
    </fill>
    <fill>
      <patternFill patternType="solid">
        <fgColor rgb="FF4A148C"/>
        <bgColor rgb="FF333399"/>
      </patternFill>
    </fill>
    <fill>
      <patternFill patternType="solid">
        <fgColor rgb="FFE8F5E9"/>
        <bgColor rgb="FFF2F3F4"/>
      </patternFill>
    </fill>
    <fill>
      <patternFill patternType="solid">
        <fgColor rgb="FFFFFDE7"/>
        <bgColor rgb="FFFFFFFF"/>
      </patternFill>
    </fill>
    <fill>
      <patternFill patternType="solid">
        <fgColor rgb="FFFFEBEE"/>
        <bgColor rgb="FFF3E5F5"/>
      </patternFill>
    </fill>
    <fill>
      <patternFill patternType="solid">
        <fgColor rgb="FFF3E5F5"/>
        <bgColor rgb="FFFFEBEE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7" fillId="7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10" fontId="5" fillId="2" borderId="0" xfId="0" applyNumberFormat="1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2" fillId="0" borderId="0" xfId="0" applyFont="1"/>
    <xf numFmtId="0" fontId="6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3" fontId="13" fillId="6" borderId="1" xfId="0" applyNumberFormat="1" applyFont="1" applyFill="1" applyBorder="1" applyAlignment="1">
      <alignment horizontal="right" vertical="center"/>
    </xf>
    <xf numFmtId="3" fontId="10" fillId="6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right" vertical="center"/>
    </xf>
    <xf numFmtId="164" fontId="13" fillId="6" borderId="1" xfId="0" applyNumberFormat="1" applyFont="1" applyFill="1" applyBorder="1" applyAlignment="1">
      <alignment horizontal="right" vertical="center"/>
    </xf>
    <xf numFmtId="164" fontId="13" fillId="8" borderId="1" xfId="0" applyNumberFormat="1" applyFont="1" applyFill="1" applyBorder="1" applyAlignment="1">
      <alignment horizontal="right" vertical="center"/>
    </xf>
    <xf numFmtId="165" fontId="13" fillId="6" borderId="1" xfId="0" applyNumberFormat="1" applyFont="1" applyFill="1" applyBorder="1" applyAlignment="1">
      <alignment horizontal="right" vertical="center"/>
    </xf>
    <xf numFmtId="165" fontId="13" fillId="8" borderId="1" xfId="0" applyNumberFormat="1" applyFont="1" applyFill="1" applyBorder="1" applyAlignment="1">
      <alignment horizontal="right" vertical="center"/>
    </xf>
    <xf numFmtId="3" fontId="13" fillId="8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right" vertical="center"/>
    </xf>
    <xf numFmtId="10" fontId="13" fillId="8" borderId="1" xfId="0" applyNumberFormat="1" applyFont="1" applyFill="1" applyBorder="1" applyAlignment="1">
      <alignment horizontal="right" vertical="center"/>
    </xf>
    <xf numFmtId="2" fontId="13" fillId="8" borderId="1" xfId="0" applyNumberFormat="1" applyFont="1" applyFill="1" applyBorder="1" applyAlignment="1">
      <alignment horizontal="right" vertical="center"/>
    </xf>
    <xf numFmtId="10" fontId="10" fillId="6" borderId="1" xfId="0" applyNumberFormat="1" applyFont="1" applyFill="1" applyBorder="1" applyAlignment="1">
      <alignment horizontal="right" vertical="center"/>
    </xf>
    <xf numFmtId="0" fontId="15" fillId="0" borderId="0" xfId="0" applyFont="1"/>
    <xf numFmtId="0" fontId="10" fillId="9" borderId="1" xfId="0" applyFont="1" applyFill="1" applyBorder="1" applyAlignment="1">
      <alignment horizontal="left" vertical="center" wrapText="1"/>
    </xf>
    <xf numFmtId="10" fontId="10" fillId="9" borderId="1" xfId="0" applyNumberFormat="1" applyFont="1" applyFill="1" applyBorder="1" applyAlignment="1">
      <alignment horizontal="right" vertical="center"/>
    </xf>
    <xf numFmtId="0" fontId="14" fillId="0" borderId="1" xfId="0" applyFont="1" applyBorder="1" applyAlignment="1">
      <alignment horizontal="left" vertical="center" wrapText="1"/>
    </xf>
    <xf numFmtId="3" fontId="16" fillId="6" borderId="1" xfId="0" applyNumberFormat="1" applyFont="1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3" fontId="7" fillId="0" borderId="1" xfId="0" applyNumberFormat="1" applyFont="1" applyBorder="1" applyAlignment="1">
      <alignment horizontal="right" vertical="center"/>
    </xf>
    <xf numFmtId="3" fontId="11" fillId="9" borderId="1" xfId="0" applyNumberFormat="1" applyFont="1" applyFill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3" fontId="16" fillId="0" borderId="1" xfId="0" applyNumberFormat="1" applyFont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 wrapText="1"/>
    </xf>
    <xf numFmtId="3" fontId="11" fillId="6" borderId="1" xfId="0" applyNumberFormat="1" applyFont="1" applyFill="1" applyBorder="1" applyAlignment="1">
      <alignment horizontal="right" vertical="center"/>
    </xf>
    <xf numFmtId="3" fontId="10" fillId="0" borderId="1" xfId="0" applyNumberFormat="1" applyFont="1" applyBorder="1" applyAlignment="1">
      <alignment horizontal="right" vertical="center"/>
    </xf>
    <xf numFmtId="10" fontId="8" fillId="0" borderId="1" xfId="0" applyNumberFormat="1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17" fillId="0" borderId="0" xfId="0" applyFont="1"/>
    <xf numFmtId="10" fontId="16" fillId="6" borderId="1" xfId="0" applyNumberFormat="1" applyFont="1" applyFill="1" applyBorder="1" applyAlignment="1">
      <alignment horizontal="right" vertical="center"/>
    </xf>
    <xf numFmtId="10" fontId="16" fillId="9" borderId="1" xfId="0" applyNumberFormat="1" applyFont="1" applyFill="1" applyBorder="1" applyAlignment="1">
      <alignment horizontal="right" vertical="center"/>
    </xf>
    <xf numFmtId="1" fontId="7" fillId="0" borderId="1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 wrapText="1"/>
    </xf>
    <xf numFmtId="167" fontId="10" fillId="0" borderId="1" xfId="0" applyNumberFormat="1" applyFont="1" applyBorder="1" applyAlignment="1">
      <alignment horizontal="right" vertical="center"/>
    </xf>
    <xf numFmtId="167" fontId="13" fillId="6" borderId="1" xfId="0" applyNumberFormat="1" applyFont="1" applyFill="1" applyBorder="1" applyAlignment="1">
      <alignment horizontal="right" vertical="center"/>
    </xf>
    <xf numFmtId="3" fontId="7" fillId="10" borderId="1" xfId="0" applyNumberFormat="1" applyFont="1" applyFill="1" applyBorder="1" applyAlignment="1">
      <alignment horizontal="right" vertical="center"/>
    </xf>
    <xf numFmtId="3" fontId="7" fillId="11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3" fontId="10" fillId="12" borderId="1" xfId="0" applyNumberFormat="1" applyFont="1" applyFill="1" applyBorder="1" applyAlignment="1">
      <alignment horizontal="right" vertical="center"/>
    </xf>
    <xf numFmtId="3" fontId="6" fillId="13" borderId="1" xfId="0" applyNumberFormat="1" applyFont="1" applyFill="1" applyBorder="1" applyAlignment="1">
      <alignment horizontal="right" vertical="center"/>
    </xf>
    <xf numFmtId="3" fontId="10" fillId="13" borderId="1" xfId="0" applyNumberFormat="1" applyFont="1" applyFill="1" applyBorder="1" applyAlignment="1">
      <alignment horizontal="right" vertical="center"/>
    </xf>
    <xf numFmtId="3" fontId="10" fillId="11" borderId="1" xfId="0" applyNumberFormat="1" applyFont="1" applyFill="1" applyBorder="1" applyAlignment="1">
      <alignment horizontal="right" vertical="center"/>
    </xf>
    <xf numFmtId="3" fontId="10" fillId="10" borderId="1" xfId="0" applyNumberFormat="1" applyFont="1" applyFill="1" applyBorder="1" applyAlignment="1">
      <alignment horizontal="right" vertical="center"/>
    </xf>
    <xf numFmtId="3" fontId="7" fillId="12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3" fontId="7" fillId="6" borderId="1" xfId="0" applyNumberFormat="1" applyFont="1" applyFill="1" applyBorder="1" applyAlignment="1">
      <alignment horizontal="right" vertical="center"/>
    </xf>
    <xf numFmtId="168" fontId="7" fillId="6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3" fontId="7" fillId="7" borderId="1" xfId="0" applyNumberFormat="1" applyFont="1" applyFill="1" applyBorder="1" applyAlignment="1">
      <alignment horizontal="right" vertical="center"/>
    </xf>
    <xf numFmtId="168" fontId="7" fillId="7" borderId="1" xfId="0" applyNumberFormat="1" applyFont="1" applyFill="1" applyBorder="1" applyAlignment="1">
      <alignment horizontal="right" vertical="center"/>
    </xf>
    <xf numFmtId="0" fontId="10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left" vertical="center"/>
    </xf>
    <xf numFmtId="168" fontId="10" fillId="13" borderId="1" xfId="0" applyNumberFormat="1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3" fontId="6" fillId="2" borderId="1" xfId="0" applyNumberFormat="1" applyFont="1" applyFill="1" applyBorder="1" applyAlignment="1">
      <alignment horizontal="right" vertical="center"/>
    </xf>
    <xf numFmtId="167" fontId="6" fillId="2" borderId="1" xfId="0" applyNumberFormat="1" applyFont="1" applyFill="1" applyBorder="1" applyAlignment="1">
      <alignment horizontal="right" vertical="center"/>
    </xf>
    <xf numFmtId="0" fontId="6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9" fontId="7" fillId="10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9" fontId="7" fillId="11" borderId="1" xfId="0" applyNumberFormat="1" applyFont="1" applyFill="1" applyBorder="1" applyAlignment="1">
      <alignment horizontal="center" vertical="center"/>
    </xf>
    <xf numFmtId="3" fontId="8" fillId="11" borderId="1" xfId="0" applyNumberFormat="1" applyFont="1" applyFill="1" applyBorder="1" applyAlignment="1">
      <alignment horizontal="right" vertical="center"/>
    </xf>
    <xf numFmtId="0" fontId="7" fillId="12" borderId="1" xfId="0" applyFont="1" applyFill="1" applyBorder="1" applyAlignment="1">
      <alignment horizontal="left" vertical="center"/>
    </xf>
    <xf numFmtId="9" fontId="7" fillId="12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164" fontId="7" fillId="10" borderId="1" xfId="0" applyNumberFormat="1" applyFont="1" applyFill="1" applyBorder="1" applyAlignment="1">
      <alignment horizontal="right" vertical="center"/>
    </xf>
    <xf numFmtId="165" fontId="18" fillId="6" borderId="1" xfId="0" applyNumberFormat="1" applyFont="1" applyFill="1" applyBorder="1" applyAlignment="1">
      <alignment horizontal="right" vertical="center"/>
    </xf>
    <xf numFmtId="165" fontId="16" fillId="6" borderId="1" xfId="0" applyNumberFormat="1" applyFont="1" applyFill="1" applyBorder="1" applyAlignment="1">
      <alignment horizontal="right" vertical="center"/>
    </xf>
    <xf numFmtId="165" fontId="13" fillId="0" borderId="1" xfId="0" applyNumberFormat="1" applyFont="1" applyBorder="1" applyAlignment="1">
      <alignment horizontal="right" vertical="center"/>
    </xf>
    <xf numFmtId="164" fontId="13" fillId="0" borderId="1" xfId="0" applyNumberFormat="1" applyFont="1" applyBorder="1" applyAlignment="1">
      <alignment horizontal="right" vertical="center"/>
    </xf>
    <xf numFmtId="3" fontId="13" fillId="0" borderId="1" xfId="0" applyNumberFormat="1" applyFont="1" applyBorder="1" applyAlignment="1">
      <alignment horizontal="right" vertical="center"/>
    </xf>
    <xf numFmtId="3" fontId="18" fillId="6" borderId="1" xfId="0" applyNumberFormat="1" applyFont="1" applyFill="1" applyBorder="1" applyAlignment="1">
      <alignment horizontal="right" vertical="center"/>
    </xf>
    <xf numFmtId="0" fontId="13" fillId="8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  <xf numFmtId="164" fontId="10" fillId="13" borderId="1" xfId="0" applyNumberFormat="1" applyFont="1" applyFill="1" applyBorder="1" applyAlignment="1">
      <alignment horizontal="right" vertical="center"/>
    </xf>
    <xf numFmtId="164" fontId="6" fillId="2" borderId="1" xfId="0" applyNumberFormat="1" applyFont="1" applyFill="1" applyBorder="1" applyAlignment="1">
      <alignment horizontal="right" vertical="center"/>
    </xf>
    <xf numFmtId="164" fontId="10" fillId="6" borderId="1" xfId="0" applyNumberFormat="1" applyFont="1" applyFill="1" applyBorder="1" applyAlignment="1">
      <alignment horizontal="right" vertical="center"/>
    </xf>
    <xf numFmtId="164" fontId="11" fillId="9" borderId="1" xfId="0" applyNumberFormat="1" applyFont="1" applyFill="1" applyBorder="1" applyAlignment="1">
      <alignment horizontal="right" vertical="center"/>
    </xf>
    <xf numFmtId="0" fontId="10" fillId="9" borderId="1" xfId="0" applyFont="1" applyFill="1" applyBorder="1" applyAlignment="1">
      <alignment horizontal="center" vertical="center"/>
    </xf>
    <xf numFmtId="3" fontId="7" fillId="9" borderId="1" xfId="0" applyNumberFormat="1" applyFont="1" applyFill="1" applyBorder="1" applyAlignment="1">
      <alignment horizontal="right" vertical="center"/>
    </xf>
    <xf numFmtId="164" fontId="20" fillId="9" borderId="1" xfId="0" applyNumberFormat="1" applyFont="1" applyFill="1" applyBorder="1" applyAlignment="1">
      <alignment horizontal="right" vertical="center"/>
    </xf>
    <xf numFmtId="164" fontId="7" fillId="9" borderId="1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3" fontId="8" fillId="10" borderId="1" xfId="0" applyNumberFormat="1" applyFont="1" applyFill="1" applyBorder="1" applyAlignment="1">
      <alignment horizontal="right" vertical="center"/>
    </xf>
    <xf numFmtId="164" fontId="8" fillId="10" borderId="1" xfId="0" applyNumberFormat="1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3" fontId="20" fillId="19" borderId="1" xfId="0" applyNumberFormat="1" applyFont="1" applyFill="1" applyBorder="1" applyAlignment="1">
      <alignment horizontal="right" vertical="center"/>
    </xf>
    <xf numFmtId="167" fontId="7" fillId="6" borderId="1" xfId="0" applyNumberFormat="1" applyFont="1" applyFill="1" applyBorder="1" applyAlignment="1">
      <alignment horizontal="right" vertical="center"/>
    </xf>
    <xf numFmtId="3" fontId="21" fillId="17" borderId="1" xfId="0" applyNumberFormat="1" applyFont="1" applyFill="1" applyBorder="1" applyAlignment="1">
      <alignment horizontal="right" vertical="center"/>
    </xf>
    <xf numFmtId="167" fontId="7" fillId="7" borderId="1" xfId="0" applyNumberFormat="1" applyFont="1" applyFill="1" applyBorder="1" applyAlignment="1">
      <alignment horizontal="right" vertical="center"/>
    </xf>
    <xf numFmtId="3" fontId="13" fillId="10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0" fillId="0" borderId="0" xfId="0"/>
    <xf numFmtId="0" fontId="6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BDBDBD"/>
      <rgbColor rgb="FF808080"/>
      <rgbColor rgb="FF9999FF"/>
      <rgbColor rgb="FFC0392B"/>
      <rgbColor rgb="FFFFF9C4"/>
      <rgbColor rgb="FFE8F5E9"/>
      <rgbColor rgb="FF4A148C"/>
      <rgbColor rgb="FFFF8A65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C8E6C9"/>
      <rgbColor rgb="FFFFFDE7"/>
      <rgbColor rgb="FFFFEBEE"/>
      <rgbColor rgb="FFFADBD8"/>
      <rgbColor rgb="FFCC99FF"/>
      <rgbColor rgb="FFFFCDD2"/>
      <rgbColor rgb="FF3366FF"/>
      <rgbColor rgb="FF33CCCC"/>
      <rgbColor rgb="FF99CC00"/>
      <rgbColor rgb="FFFFCC00"/>
      <rgbColor rgb="FFFF9900"/>
      <rgbColor rgb="FFE74C3C"/>
      <rgbColor rgb="FF566573"/>
      <rgbColor rgb="FF969696"/>
      <rgbColor rgb="FF003366"/>
      <rgbColor rgb="FF339966"/>
      <rgbColor rgb="FF003300"/>
      <rgbColor rgb="FF1B5E20"/>
      <rgbColor rgb="FFB71C1C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26"/>
  <sheetViews>
    <sheetView showGridLines="0" topLeftCell="A5" zoomScale="87" zoomScaleNormal="100" workbookViewId="0">
      <selection activeCell="L17" sqref="L17"/>
    </sheetView>
  </sheetViews>
  <sheetFormatPr defaultColWidth="8.6640625" defaultRowHeight="14.4" x14ac:dyDescent="0.3"/>
  <cols>
    <col min="1" max="8" width="18" customWidth="1"/>
  </cols>
  <sheetData>
    <row r="3" spans="2:9" ht="54.75" customHeight="1" x14ac:dyDescent="0.3">
      <c r="B3" s="14" t="s">
        <v>0</v>
      </c>
      <c r="C3" s="14"/>
      <c r="D3" s="14"/>
      <c r="E3" s="14"/>
      <c r="F3" s="14"/>
      <c r="G3" s="14"/>
      <c r="H3" s="14"/>
    </row>
    <row r="4" spans="2:9" ht="31.5" customHeight="1" x14ac:dyDescent="0.3">
      <c r="B4" s="13" t="s">
        <v>1</v>
      </c>
      <c r="C4" s="13"/>
      <c r="D4" s="13"/>
      <c r="E4" s="13"/>
      <c r="F4" s="13"/>
      <c r="G4" s="13"/>
      <c r="H4" s="13"/>
    </row>
    <row r="5" spans="2:9" ht="24" customHeight="1" x14ac:dyDescent="0.3">
      <c r="B5" s="12" t="s">
        <v>2</v>
      </c>
      <c r="C5" s="12"/>
      <c r="D5" s="12"/>
      <c r="E5" s="12"/>
      <c r="F5" s="12"/>
      <c r="G5" s="12"/>
      <c r="H5" s="12"/>
    </row>
    <row r="6" spans="2:9" ht="12" customHeight="1" x14ac:dyDescent="0.3"/>
    <row r="7" spans="2:9" ht="15.75" customHeight="1" x14ac:dyDescent="0.3">
      <c r="B7" s="11" t="s">
        <v>3</v>
      </c>
      <c r="C7" s="11"/>
      <c r="D7" s="11" t="s">
        <v>4</v>
      </c>
      <c r="E7" s="11"/>
      <c r="F7" s="11" t="s">
        <v>5</v>
      </c>
      <c r="G7" s="11"/>
      <c r="H7" s="11" t="s">
        <v>6</v>
      </c>
      <c r="I7" s="11"/>
    </row>
    <row r="8" spans="2:9" ht="27.75" customHeight="1" x14ac:dyDescent="0.3">
      <c r="B8" s="10">
        <f>'DCF &amp; WACC'!B39</f>
        <v>15441.294779473761</v>
      </c>
      <c r="C8" s="10"/>
      <c r="D8" s="10">
        <f>'DCF &amp; WACC'!B43</f>
        <v>16291.294779473761</v>
      </c>
      <c r="E8" s="10"/>
      <c r="F8" s="9">
        <f>Assumptions!B47</f>
        <v>0.14660000000000001</v>
      </c>
      <c r="G8" s="9"/>
      <c r="H8" s="9">
        <f>Assumptions!B48</f>
        <v>4.4999999999999998E-2</v>
      </c>
      <c r="I8" s="9"/>
    </row>
    <row r="9" spans="2:9" ht="9.75" customHeight="1" x14ac:dyDescent="0.3"/>
    <row r="10" spans="2:9" ht="18" customHeight="1" x14ac:dyDescent="0.3">
      <c r="B10" s="8" t="s">
        <v>7</v>
      </c>
      <c r="C10" s="8"/>
      <c r="D10" s="7" t="s">
        <v>8</v>
      </c>
      <c r="E10" s="7"/>
      <c r="F10" s="7"/>
      <c r="G10" s="7"/>
      <c r="H10" s="7"/>
    </row>
    <row r="11" spans="2:9" ht="18" customHeight="1" x14ac:dyDescent="0.3">
      <c r="B11" s="8"/>
      <c r="C11" s="8"/>
      <c r="D11" s="7"/>
      <c r="E11" s="7"/>
      <c r="F11" s="7"/>
      <c r="G11" s="7"/>
      <c r="H11" s="7"/>
    </row>
    <row r="12" spans="2:9" ht="18" customHeight="1" x14ac:dyDescent="0.3">
      <c r="B12" s="8" t="s">
        <v>9</v>
      </c>
      <c r="C12" s="8"/>
      <c r="D12" s="6" t="s">
        <v>10</v>
      </c>
      <c r="E12" s="6"/>
      <c r="F12" s="6"/>
      <c r="G12" s="6"/>
      <c r="H12" s="6"/>
    </row>
    <row r="13" spans="2:9" ht="18" customHeight="1" x14ac:dyDescent="0.3">
      <c r="B13" s="8" t="s">
        <v>11</v>
      </c>
      <c r="C13" s="8"/>
      <c r="D13" s="7" t="s">
        <v>12</v>
      </c>
      <c r="E13" s="7"/>
      <c r="F13" s="7"/>
      <c r="G13" s="7"/>
      <c r="H13" s="7"/>
    </row>
    <row r="14" spans="2:9" ht="18" customHeight="1" x14ac:dyDescent="0.3">
      <c r="B14" s="8" t="s">
        <v>13</v>
      </c>
      <c r="C14" s="8"/>
      <c r="D14" s="7" t="s">
        <v>14</v>
      </c>
      <c r="E14" s="7"/>
      <c r="F14" s="7"/>
      <c r="G14" s="7"/>
      <c r="H14" s="7"/>
    </row>
    <row r="15" spans="2:9" ht="18" customHeight="1" x14ac:dyDescent="0.3">
      <c r="B15" s="8" t="s">
        <v>15</v>
      </c>
      <c r="C15" s="8"/>
      <c r="D15" s="6" t="s">
        <v>16</v>
      </c>
      <c r="E15" s="6"/>
      <c r="F15" s="6"/>
      <c r="G15" s="6"/>
      <c r="H15" s="6"/>
    </row>
    <row r="16" spans="2:9" ht="12" customHeight="1" x14ac:dyDescent="0.3"/>
    <row r="17" spans="2:8" ht="19.5" customHeight="1" x14ac:dyDescent="0.3">
      <c r="B17" s="5" t="s">
        <v>17</v>
      </c>
      <c r="C17" s="5"/>
      <c r="D17" s="5"/>
      <c r="E17" s="5"/>
      <c r="F17" s="5"/>
      <c r="G17" s="5"/>
      <c r="H17" s="5"/>
    </row>
    <row r="18" spans="2:8" ht="16.5" customHeight="1" x14ac:dyDescent="0.3">
      <c r="B18" s="15" t="s">
        <v>18</v>
      </c>
      <c r="C18" s="4" t="s">
        <v>19</v>
      </c>
      <c r="D18" s="4"/>
      <c r="E18" s="4"/>
      <c r="F18" s="4"/>
      <c r="G18" s="4"/>
      <c r="H18" s="4"/>
    </row>
    <row r="19" spans="2:8" ht="16.5" customHeight="1" x14ac:dyDescent="0.3">
      <c r="B19" s="16" t="s">
        <v>20</v>
      </c>
      <c r="C19" s="3" t="s">
        <v>21</v>
      </c>
      <c r="D19" s="3"/>
      <c r="E19" s="3"/>
      <c r="F19" s="3"/>
      <c r="G19" s="3"/>
      <c r="H19" s="3"/>
    </row>
    <row r="20" spans="2:8" ht="16.5" customHeight="1" x14ac:dyDescent="0.3">
      <c r="B20" s="15" t="s">
        <v>22</v>
      </c>
      <c r="C20" s="2" t="s">
        <v>23</v>
      </c>
      <c r="D20" s="2"/>
      <c r="E20" s="2"/>
      <c r="F20" s="2"/>
      <c r="G20" s="2"/>
      <c r="H20" s="2"/>
    </row>
    <row r="21" spans="2:8" ht="16.5" customHeight="1" x14ac:dyDescent="0.3">
      <c r="B21" s="17" t="s">
        <v>24</v>
      </c>
      <c r="C21" s="1" t="s">
        <v>25</v>
      </c>
      <c r="D21" s="1"/>
      <c r="E21" s="1"/>
      <c r="F21" s="1"/>
      <c r="G21" s="1"/>
      <c r="H21" s="1"/>
    </row>
    <row r="22" spans="2:8" ht="16.5" customHeight="1" x14ac:dyDescent="0.3">
      <c r="B22" s="15" t="s">
        <v>26</v>
      </c>
      <c r="C22" s="2" t="s">
        <v>27</v>
      </c>
      <c r="D22" s="2"/>
      <c r="E22" s="2"/>
      <c r="F22" s="2"/>
      <c r="G22" s="2"/>
      <c r="H22" s="2"/>
    </row>
    <row r="23" spans="2:8" ht="16.5" customHeight="1" x14ac:dyDescent="0.3">
      <c r="B23" s="17" t="s">
        <v>28</v>
      </c>
      <c r="C23" s="1" t="s">
        <v>29</v>
      </c>
      <c r="D23" s="1"/>
      <c r="E23" s="1"/>
      <c r="F23" s="1"/>
      <c r="G23" s="1"/>
      <c r="H23" s="1"/>
    </row>
    <row r="24" spans="2:8" ht="16.5" customHeight="1" x14ac:dyDescent="0.3">
      <c r="B24" s="15" t="s">
        <v>30</v>
      </c>
      <c r="C24" s="4" t="s">
        <v>31</v>
      </c>
      <c r="D24" s="4"/>
      <c r="E24" s="4"/>
      <c r="F24" s="4"/>
      <c r="G24" s="4"/>
      <c r="H24" s="4"/>
    </row>
    <row r="25" spans="2:8" ht="16.5" customHeight="1" x14ac:dyDescent="0.3">
      <c r="B25" s="17" t="s">
        <v>32</v>
      </c>
      <c r="C25" s="3" t="s">
        <v>33</v>
      </c>
      <c r="D25" s="3"/>
      <c r="E25" s="3"/>
      <c r="F25" s="3"/>
      <c r="G25" s="3"/>
      <c r="H25" s="3"/>
    </row>
    <row r="26" spans="2:8" ht="16.5" customHeight="1" x14ac:dyDescent="0.3">
      <c r="B26" s="15" t="s">
        <v>34</v>
      </c>
      <c r="C26" s="4" t="s">
        <v>35</v>
      </c>
      <c r="D26" s="4"/>
      <c r="E26" s="4"/>
      <c r="F26" s="4"/>
      <c r="G26" s="4"/>
      <c r="H26" s="4"/>
    </row>
  </sheetData>
  <mergeCells count="33">
    <mergeCell ref="C23:H23"/>
    <mergeCell ref="C24:H24"/>
    <mergeCell ref="C25:H25"/>
    <mergeCell ref="C26:H26"/>
    <mergeCell ref="C18:H18"/>
    <mergeCell ref="C19:H19"/>
    <mergeCell ref="C20:H20"/>
    <mergeCell ref="C21:H21"/>
    <mergeCell ref="C22:H22"/>
    <mergeCell ref="B14:C14"/>
    <mergeCell ref="D14:H14"/>
    <mergeCell ref="B15:C15"/>
    <mergeCell ref="D15:H15"/>
    <mergeCell ref="B17:H17"/>
    <mergeCell ref="B11:C11"/>
    <mergeCell ref="D11:H11"/>
    <mergeCell ref="B12:C12"/>
    <mergeCell ref="D12:H12"/>
    <mergeCell ref="B13:C13"/>
    <mergeCell ref="D13:H13"/>
    <mergeCell ref="B8:C8"/>
    <mergeCell ref="D8:E8"/>
    <mergeCell ref="F8:G8"/>
    <mergeCell ref="H8:I8"/>
    <mergeCell ref="B10:C10"/>
    <mergeCell ref="D10:H10"/>
    <mergeCell ref="B3:H3"/>
    <mergeCell ref="B4:H4"/>
    <mergeCell ref="B5:H5"/>
    <mergeCell ref="B7:C7"/>
    <mergeCell ref="D7:E7"/>
    <mergeCell ref="F7:G7"/>
    <mergeCell ref="H7:I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showGridLines="0" zoomScaleNormal="100" workbookViewId="0">
      <selection sqref="A1:K1"/>
    </sheetView>
  </sheetViews>
  <sheetFormatPr defaultColWidth="8.6640625" defaultRowHeight="14.4" x14ac:dyDescent="0.3"/>
  <cols>
    <col min="1" max="1" width="38" customWidth="1"/>
    <col min="2" max="13" width="13" customWidth="1"/>
  </cols>
  <sheetData>
    <row r="1" spans="1:11" ht="30" customHeight="1" x14ac:dyDescent="0.3">
      <c r="A1" s="142" t="s">
        <v>36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</row>
    <row r="4" spans="1:11" ht="19.5" customHeight="1" x14ac:dyDescent="0.3">
      <c r="A4" s="18" t="s">
        <v>37</v>
      </c>
      <c r="B4" s="19" t="s">
        <v>38</v>
      </c>
      <c r="C4" s="19" t="s">
        <v>39</v>
      </c>
      <c r="D4" s="19" t="s">
        <v>40</v>
      </c>
      <c r="E4" s="19" t="s">
        <v>41</v>
      </c>
      <c r="F4" s="20" t="s">
        <v>42</v>
      </c>
      <c r="G4" s="21" t="s">
        <v>43</v>
      </c>
      <c r="H4" s="21" t="s">
        <v>44</v>
      </c>
      <c r="I4" s="21" t="s">
        <v>45</v>
      </c>
      <c r="J4" s="21" t="s">
        <v>46</v>
      </c>
      <c r="K4" s="21" t="s">
        <v>47</v>
      </c>
    </row>
    <row r="5" spans="1:11" ht="18" customHeight="1" x14ac:dyDescent="0.3">
      <c r="A5" s="143" t="s">
        <v>48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</row>
    <row r="6" spans="1:11" ht="16.5" customHeight="1" x14ac:dyDescent="0.3">
      <c r="A6" s="23" t="s">
        <v>49</v>
      </c>
      <c r="B6" s="24">
        <v>950</v>
      </c>
      <c r="C6" s="24">
        <v>1837</v>
      </c>
      <c r="D6" s="24">
        <v>2286</v>
      </c>
      <c r="E6" s="24">
        <v>2846</v>
      </c>
      <c r="F6" s="24">
        <v>3769</v>
      </c>
      <c r="G6" s="25">
        <f>F6*(1+G7)</f>
        <v>4296.6600000000008</v>
      </c>
      <c r="H6" s="25">
        <f>G6*(1+H7)</f>
        <v>4915.3790400000007</v>
      </c>
      <c r="I6" s="25">
        <f>H6*(1+I7)</f>
        <v>5613.3628636800004</v>
      </c>
      <c r="J6" s="25">
        <f>I6*(1+J7)</f>
        <v>6286.9664073216009</v>
      </c>
      <c r="K6" s="25">
        <f>J6*(1+K7)</f>
        <v>6915.6630480537615</v>
      </c>
    </row>
    <row r="7" spans="1:11" ht="16.5" customHeight="1" x14ac:dyDescent="0.3">
      <c r="A7" s="26" t="s">
        <v>50</v>
      </c>
      <c r="B7" s="27" t="s">
        <v>51</v>
      </c>
      <c r="C7" s="28">
        <v>0.93400000000000005</v>
      </c>
      <c r="D7" s="28">
        <v>0.24399999999999999</v>
      </c>
      <c r="E7" s="28">
        <v>0.245</v>
      </c>
      <c r="F7" s="28">
        <v>0.32400000000000001</v>
      </c>
      <c r="G7" s="29">
        <v>0.14000000000000001</v>
      </c>
      <c r="H7" s="29">
        <v>0.14399999999999999</v>
      </c>
      <c r="I7" s="29">
        <v>0.14199999999999999</v>
      </c>
      <c r="J7" s="29">
        <v>0.12</v>
      </c>
      <c r="K7" s="29">
        <v>0.1</v>
      </c>
    </row>
    <row r="10" spans="1:11" ht="18" customHeight="1" x14ac:dyDescent="0.3">
      <c r="A10" s="143" t="s">
        <v>52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</row>
    <row r="11" spans="1:11" ht="16.5" customHeight="1" x14ac:dyDescent="0.3">
      <c r="A11" s="26" t="s">
        <v>53</v>
      </c>
      <c r="B11" s="28">
        <v>0.32100000000000001</v>
      </c>
      <c r="C11" s="28">
        <v>0.33</v>
      </c>
      <c r="D11" s="28">
        <v>0.34599999999999997</v>
      </c>
      <c r="E11" s="28">
        <v>0.36799999999999999</v>
      </c>
      <c r="F11" s="28">
        <v>0.38500000000000001</v>
      </c>
      <c r="G11" s="29">
        <v>0.34499999999999997</v>
      </c>
      <c r="H11" s="29">
        <v>0.35199999999999998</v>
      </c>
      <c r="I11" s="29">
        <v>0.35799999999999998</v>
      </c>
      <c r="J11" s="29">
        <v>0.36199999999999999</v>
      </c>
      <c r="K11" s="29">
        <v>0.36499999999999999</v>
      </c>
    </row>
    <row r="12" spans="1:11" ht="16.5" customHeight="1" x14ac:dyDescent="0.3">
      <c r="A12" s="26" t="s">
        <v>54</v>
      </c>
      <c r="B12" s="28">
        <v>0.498</v>
      </c>
      <c r="C12" s="28">
        <v>0.28100000000000003</v>
      </c>
      <c r="D12" s="28">
        <v>0.29799999999999999</v>
      </c>
      <c r="E12" s="28">
        <v>0.32</v>
      </c>
      <c r="F12" s="28">
        <v>0.39800000000000002</v>
      </c>
      <c r="G12" s="29">
        <v>0.41</v>
      </c>
      <c r="H12" s="29">
        <v>0.42</v>
      </c>
      <c r="I12" s="29">
        <v>0.42499999999999999</v>
      </c>
      <c r="J12" s="29">
        <v>0.43</v>
      </c>
      <c r="K12" s="29">
        <v>0.43</v>
      </c>
    </row>
    <row r="13" spans="1:11" ht="16.5" customHeight="1" x14ac:dyDescent="0.3">
      <c r="A13" s="26" t="s">
        <v>55</v>
      </c>
      <c r="B13" s="28">
        <v>1.6E-2</v>
      </c>
      <c r="C13" s="28">
        <v>2.8000000000000001E-2</v>
      </c>
      <c r="D13" s="28">
        <v>3.7999999999999999E-2</v>
      </c>
      <c r="E13" s="28">
        <v>7.0000000000000007E-2</v>
      </c>
      <c r="F13" s="28">
        <v>9.8000000000000004E-2</v>
      </c>
      <c r="G13" s="29">
        <v>0.11</v>
      </c>
      <c r="H13" s="29">
        <v>0.125</v>
      </c>
      <c r="I13" s="29">
        <v>0.13500000000000001</v>
      </c>
      <c r="J13" s="29">
        <v>0.14499999999999999</v>
      </c>
      <c r="K13" s="29">
        <v>0.15</v>
      </c>
    </row>
    <row r="14" spans="1:11" ht="16.5" customHeight="1" x14ac:dyDescent="0.3">
      <c r="A14" s="26" t="s">
        <v>56</v>
      </c>
      <c r="B14" s="28">
        <v>0.33300000000000002</v>
      </c>
      <c r="C14" s="28">
        <v>0.64300000000000002</v>
      </c>
      <c r="D14" s="28">
        <v>0.628</v>
      </c>
      <c r="E14" s="28">
        <v>0.752</v>
      </c>
      <c r="F14" s="28">
        <v>0.77800000000000002</v>
      </c>
      <c r="G14" s="29">
        <v>0.25</v>
      </c>
      <c r="H14" s="29">
        <v>0.25</v>
      </c>
      <c r="I14" s="29">
        <v>0.25</v>
      </c>
      <c r="J14" s="29">
        <v>0.25</v>
      </c>
      <c r="K14" s="29">
        <v>0.25</v>
      </c>
    </row>
    <row r="17" spans="1:11" ht="18" customHeight="1" x14ac:dyDescent="0.3">
      <c r="A17" s="143" t="s">
        <v>57</v>
      </c>
      <c r="B17" s="143"/>
      <c r="C17" s="143"/>
      <c r="D17" s="143"/>
      <c r="E17" s="143"/>
      <c r="F17" s="143"/>
      <c r="G17" s="143"/>
      <c r="H17" s="143"/>
      <c r="I17" s="143"/>
      <c r="J17" s="143"/>
      <c r="K17" s="143"/>
    </row>
    <row r="18" spans="1:11" ht="16.5" customHeight="1" x14ac:dyDescent="0.3">
      <c r="A18" s="26" t="s">
        <v>58</v>
      </c>
      <c r="B18" s="28">
        <v>0.57899999999999996</v>
      </c>
      <c r="C18" s="28">
        <v>0.57399999999999995</v>
      </c>
      <c r="D18" s="28">
        <v>0.56000000000000005</v>
      </c>
      <c r="E18" s="28">
        <v>0.54100000000000004</v>
      </c>
      <c r="F18" s="28">
        <v>0.52500000000000002</v>
      </c>
      <c r="G18" s="29">
        <v>0.51300000000000001</v>
      </c>
      <c r="H18" s="29">
        <v>0.503</v>
      </c>
      <c r="I18" s="29">
        <v>0.49299999999999999</v>
      </c>
      <c r="J18" s="29">
        <v>0.48299999999999998</v>
      </c>
      <c r="K18" s="29">
        <v>0.47299999999999998</v>
      </c>
    </row>
    <row r="19" spans="1:11" ht="16.5" customHeight="1" x14ac:dyDescent="0.3">
      <c r="A19" s="26" t="s">
        <v>59</v>
      </c>
      <c r="B19" s="28">
        <v>0.1</v>
      </c>
      <c r="C19" s="28">
        <v>9.5000000000000001E-2</v>
      </c>
      <c r="D19" s="28">
        <v>9.4E-2</v>
      </c>
      <c r="E19" s="28">
        <v>9.0999999999999998E-2</v>
      </c>
      <c r="F19" s="28">
        <v>0.09</v>
      </c>
      <c r="G19" s="29">
        <v>0.09</v>
      </c>
      <c r="H19" s="29">
        <v>0.09</v>
      </c>
      <c r="I19" s="29">
        <v>0.09</v>
      </c>
      <c r="J19" s="29">
        <v>0.09</v>
      </c>
      <c r="K19" s="29">
        <v>0.09</v>
      </c>
    </row>
    <row r="20" spans="1:11" ht="16.5" customHeight="1" x14ac:dyDescent="0.3">
      <c r="A20" s="26" t="s">
        <v>60</v>
      </c>
      <c r="B20" s="28">
        <v>0.2</v>
      </c>
      <c r="C20" s="28">
        <v>0.2</v>
      </c>
      <c r="D20" s="28">
        <v>0.2</v>
      </c>
      <c r="E20" s="28">
        <v>0.19</v>
      </c>
      <c r="F20" s="28">
        <v>0.18</v>
      </c>
      <c r="G20" s="29">
        <v>0.17</v>
      </c>
      <c r="H20" s="29">
        <v>0.16500000000000001</v>
      </c>
      <c r="I20" s="29">
        <v>0.16</v>
      </c>
      <c r="J20" s="29">
        <v>0.155</v>
      </c>
      <c r="K20" s="29">
        <v>0.15</v>
      </c>
    </row>
    <row r="21" spans="1:11" ht="16.5" customHeight="1" x14ac:dyDescent="0.3">
      <c r="A21" s="26" t="s">
        <v>61</v>
      </c>
      <c r="B21" s="28">
        <v>5.5E-2</v>
      </c>
      <c r="C21" s="28">
        <v>5.2999999999999999E-2</v>
      </c>
      <c r="D21" s="28">
        <v>0.06</v>
      </c>
      <c r="E21" s="28">
        <v>0.06</v>
      </c>
      <c r="F21" s="28">
        <v>0.06</v>
      </c>
      <c r="G21" s="29">
        <v>5.8000000000000003E-2</v>
      </c>
      <c r="H21" s="29">
        <v>5.6000000000000001E-2</v>
      </c>
      <c r="I21" s="29">
        <v>5.3999999999999999E-2</v>
      </c>
      <c r="J21" s="29">
        <v>5.1999999999999998E-2</v>
      </c>
      <c r="K21" s="29">
        <v>0.05</v>
      </c>
    </row>
    <row r="24" spans="1:11" ht="18" customHeight="1" x14ac:dyDescent="0.3">
      <c r="A24" s="143" t="s">
        <v>62</v>
      </c>
      <c r="B24" s="143"/>
      <c r="C24" s="143"/>
      <c r="D24" s="143"/>
      <c r="E24" s="143"/>
      <c r="F24" s="143"/>
      <c r="G24" s="143"/>
      <c r="H24" s="143"/>
      <c r="I24" s="143"/>
      <c r="J24" s="143"/>
      <c r="K24" s="143"/>
    </row>
    <row r="25" spans="1:11" ht="16.5" customHeight="1" x14ac:dyDescent="0.3">
      <c r="A25" s="26" t="s">
        <v>63</v>
      </c>
      <c r="B25" s="30">
        <v>3.5</v>
      </c>
      <c r="C25" s="30">
        <v>5.5</v>
      </c>
      <c r="D25" s="30">
        <v>7</v>
      </c>
      <c r="E25" s="30">
        <v>17</v>
      </c>
      <c r="F25" s="30">
        <v>21</v>
      </c>
      <c r="G25" s="31">
        <v>25</v>
      </c>
      <c r="H25" s="31">
        <v>30</v>
      </c>
      <c r="I25" s="31">
        <v>35</v>
      </c>
      <c r="J25" s="31">
        <v>40</v>
      </c>
      <c r="K25" s="31">
        <v>44</v>
      </c>
    </row>
    <row r="26" spans="1:11" ht="16.5" customHeight="1" x14ac:dyDescent="0.3">
      <c r="A26" s="26" t="s">
        <v>64</v>
      </c>
      <c r="B26" s="24">
        <v>2257</v>
      </c>
      <c r="C26" s="24">
        <v>2783</v>
      </c>
      <c r="D26" s="24">
        <v>2721</v>
      </c>
      <c r="E26" s="24">
        <v>1395</v>
      </c>
      <c r="F26" s="24">
        <v>1496</v>
      </c>
      <c r="G26" s="32">
        <v>1433</v>
      </c>
      <c r="H26" s="32">
        <v>1367</v>
      </c>
      <c r="I26" s="32">
        <v>1338</v>
      </c>
      <c r="J26" s="32">
        <v>1310</v>
      </c>
      <c r="K26" s="32">
        <v>1310</v>
      </c>
    </row>
    <row r="27" spans="1:11" ht="16.5" customHeight="1" x14ac:dyDescent="0.3">
      <c r="A27" s="26" t="s">
        <v>65</v>
      </c>
      <c r="B27" s="28">
        <v>8.5000000000000006E-2</v>
      </c>
      <c r="C27" s="28">
        <v>0.112</v>
      </c>
      <c r="D27" s="28">
        <v>0.14499999999999999</v>
      </c>
      <c r="E27" s="28">
        <v>0.17499999999999999</v>
      </c>
      <c r="F27" s="28">
        <v>0.19</v>
      </c>
      <c r="G27" s="29">
        <v>0.19500000000000001</v>
      </c>
      <c r="H27" s="29">
        <v>0.2</v>
      </c>
      <c r="I27" s="29">
        <v>0.20499999999999999</v>
      </c>
      <c r="J27" s="29">
        <v>0.21</v>
      </c>
      <c r="K27" s="29">
        <v>0.215</v>
      </c>
    </row>
    <row r="30" spans="1:11" ht="18" customHeight="1" x14ac:dyDescent="0.3">
      <c r="A30" s="143" t="s">
        <v>66</v>
      </c>
      <c r="B30" s="143"/>
      <c r="C30" s="143"/>
      <c r="D30" s="143"/>
      <c r="E30" s="143"/>
      <c r="F30" s="143"/>
      <c r="G30" s="143"/>
      <c r="H30" s="143"/>
      <c r="I30" s="143"/>
      <c r="J30" s="143"/>
      <c r="K30" s="143"/>
    </row>
    <row r="31" spans="1:11" ht="16.5" customHeight="1" x14ac:dyDescent="0.3">
      <c r="A31" s="26" t="s">
        <v>67</v>
      </c>
      <c r="B31" s="24">
        <v>25</v>
      </c>
      <c r="C31" s="24">
        <v>35</v>
      </c>
      <c r="D31" s="24">
        <v>45</v>
      </c>
      <c r="E31" s="24">
        <v>55</v>
      </c>
      <c r="F31" s="24">
        <v>70</v>
      </c>
      <c r="G31" s="32">
        <v>85</v>
      </c>
      <c r="H31" s="32">
        <v>100</v>
      </c>
      <c r="I31" s="32">
        <v>120</v>
      </c>
      <c r="J31" s="32">
        <v>140</v>
      </c>
      <c r="K31" s="32">
        <v>160</v>
      </c>
    </row>
    <row r="32" spans="1:11" ht="16.5" customHeight="1" x14ac:dyDescent="0.3">
      <c r="A32" s="26" t="s">
        <v>68</v>
      </c>
      <c r="B32" s="24">
        <v>500</v>
      </c>
      <c r="C32" s="24">
        <v>800</v>
      </c>
      <c r="D32" s="24">
        <v>1000</v>
      </c>
      <c r="E32" s="24">
        <v>1200</v>
      </c>
      <c r="F32" s="24">
        <v>1400</v>
      </c>
      <c r="G32" s="32">
        <v>1600</v>
      </c>
      <c r="H32" s="32">
        <v>1800</v>
      </c>
      <c r="I32" s="32">
        <v>2000</v>
      </c>
      <c r="J32" s="32">
        <v>2200</v>
      </c>
      <c r="K32" s="32">
        <v>2400</v>
      </c>
    </row>
    <row r="33" spans="1:12" ht="16.5" customHeight="1" x14ac:dyDescent="0.3">
      <c r="A33" s="26" t="s">
        <v>69</v>
      </c>
      <c r="B33" s="24">
        <v>10</v>
      </c>
      <c r="C33" s="24">
        <v>15</v>
      </c>
      <c r="D33" s="24">
        <v>20</v>
      </c>
      <c r="E33" s="24">
        <v>25</v>
      </c>
      <c r="F33" s="24">
        <v>30</v>
      </c>
      <c r="G33" s="32">
        <v>35</v>
      </c>
      <c r="H33" s="32">
        <v>40</v>
      </c>
      <c r="I33" s="32">
        <v>45</v>
      </c>
      <c r="J33" s="32">
        <v>50</v>
      </c>
      <c r="K33" s="32">
        <v>55</v>
      </c>
    </row>
    <row r="34" spans="1:12" ht="16.5" customHeight="1" x14ac:dyDescent="0.3">
      <c r="A34" s="26" t="s">
        <v>70</v>
      </c>
      <c r="B34" s="24">
        <v>500</v>
      </c>
      <c r="C34" s="24">
        <v>800</v>
      </c>
      <c r="D34" s="24">
        <v>1000</v>
      </c>
      <c r="E34" s="24">
        <v>1200</v>
      </c>
      <c r="F34" s="24">
        <v>1400</v>
      </c>
      <c r="G34" s="32">
        <v>1600</v>
      </c>
      <c r="H34" s="32">
        <v>1800</v>
      </c>
      <c r="I34" s="32">
        <v>2000</v>
      </c>
      <c r="J34" s="32">
        <v>2200</v>
      </c>
      <c r="K34" s="32">
        <v>2400</v>
      </c>
    </row>
    <row r="35" spans="1:12" ht="16.5" customHeight="1" x14ac:dyDescent="0.3">
      <c r="A35" s="26" t="s">
        <v>71</v>
      </c>
      <c r="B35" s="24">
        <v>50</v>
      </c>
      <c r="C35" s="24">
        <v>60</v>
      </c>
      <c r="D35" s="24">
        <v>70</v>
      </c>
      <c r="E35" s="24">
        <v>80</v>
      </c>
      <c r="F35" s="24">
        <v>100</v>
      </c>
      <c r="G35" s="32">
        <v>120</v>
      </c>
      <c r="H35" s="32">
        <v>140</v>
      </c>
      <c r="I35" s="32">
        <v>160</v>
      </c>
      <c r="J35" s="32">
        <v>180</v>
      </c>
      <c r="K35" s="32">
        <v>200</v>
      </c>
    </row>
    <row r="36" spans="1:12" ht="16.5" customHeight="1" x14ac:dyDescent="0.3">
      <c r="A36" s="26" t="s">
        <v>72</v>
      </c>
      <c r="B36" s="24">
        <v>-15</v>
      </c>
      <c r="C36" s="24">
        <v>-28</v>
      </c>
      <c r="D36" s="24">
        <v>-35</v>
      </c>
      <c r="E36" s="24">
        <v>-45</v>
      </c>
      <c r="F36" s="24">
        <v>-60</v>
      </c>
      <c r="G36" s="32">
        <v>-65</v>
      </c>
      <c r="H36" s="32">
        <v>-67</v>
      </c>
      <c r="I36" s="32">
        <v>-65</v>
      </c>
      <c r="J36" s="32">
        <v>-70</v>
      </c>
      <c r="K36" s="32">
        <v>-75</v>
      </c>
    </row>
    <row r="37" spans="1:12" ht="16.5" customHeight="1" x14ac:dyDescent="0.3">
      <c r="A37" s="33" t="s">
        <v>73</v>
      </c>
      <c r="B37" s="34" t="s">
        <v>51</v>
      </c>
      <c r="C37" s="34" t="s">
        <v>51</v>
      </c>
      <c r="D37" s="34" t="s">
        <v>51</v>
      </c>
      <c r="E37" s="34" t="s">
        <v>51</v>
      </c>
      <c r="F37" s="29">
        <v>0.3</v>
      </c>
      <c r="G37" s="29">
        <v>0.1</v>
      </c>
      <c r="H37" s="29">
        <v>9.5000000000000001E-2</v>
      </c>
      <c r="I37" s="29">
        <v>0.09</v>
      </c>
      <c r="J37" s="29">
        <v>8.5000000000000006E-2</v>
      </c>
      <c r="K37" s="29">
        <v>0.08</v>
      </c>
      <c r="L37" s="18" t="s">
        <v>74</v>
      </c>
    </row>
    <row r="38" spans="1:12" ht="16.5" customHeight="1" x14ac:dyDescent="0.3">
      <c r="A38" s="26" t="s">
        <v>75</v>
      </c>
      <c r="B38" s="24">
        <v>450</v>
      </c>
      <c r="C38" s="24">
        <v>280</v>
      </c>
      <c r="D38" s="24">
        <v>180</v>
      </c>
      <c r="E38" s="24">
        <v>120</v>
      </c>
      <c r="F38" s="24">
        <v>80</v>
      </c>
      <c r="G38" s="32">
        <v>40</v>
      </c>
      <c r="H38" s="32">
        <v>30</v>
      </c>
      <c r="I38" s="32">
        <v>20</v>
      </c>
      <c r="J38" s="32">
        <v>10</v>
      </c>
      <c r="K38" s="32">
        <v>0</v>
      </c>
    </row>
    <row r="39" spans="1:12" ht="15" customHeight="1" x14ac:dyDescent="0.3">
      <c r="A39" s="26" t="s">
        <v>76</v>
      </c>
      <c r="B39" s="24">
        <v>-30</v>
      </c>
      <c r="C39" s="24">
        <v>-55</v>
      </c>
      <c r="D39" s="24">
        <v>-68</v>
      </c>
      <c r="E39" s="24">
        <v>-82</v>
      </c>
      <c r="F39" s="24">
        <v>-110</v>
      </c>
      <c r="G39" s="32">
        <v>-120</v>
      </c>
      <c r="H39" s="32">
        <v>-125</v>
      </c>
      <c r="I39" s="32">
        <v>-130</v>
      </c>
      <c r="J39" s="32">
        <v>-140</v>
      </c>
      <c r="K39" s="32">
        <v>-150</v>
      </c>
    </row>
    <row r="41" spans="1:12" ht="18" customHeight="1" x14ac:dyDescent="0.3">
      <c r="A41" s="144"/>
      <c r="B41" s="144"/>
      <c r="C41" s="144"/>
      <c r="D41" s="144"/>
      <c r="E41" s="144"/>
    </row>
    <row r="42" spans="1:12" ht="16.5" customHeight="1" x14ac:dyDescent="0.3">
      <c r="A42" s="22" t="s">
        <v>77</v>
      </c>
    </row>
    <row r="43" spans="1:12" ht="16.5" customHeight="1" x14ac:dyDescent="0.3">
      <c r="A43" s="26" t="s">
        <v>78</v>
      </c>
      <c r="B43" s="35">
        <v>6.6100000000000006E-2</v>
      </c>
      <c r="C43" s="18" t="s">
        <v>79</v>
      </c>
    </row>
    <row r="44" spans="1:12" ht="16.5" customHeight="1" x14ac:dyDescent="0.3">
      <c r="A44" s="26" t="s">
        <v>80</v>
      </c>
      <c r="B44" s="36">
        <v>1.1499999999999999</v>
      </c>
      <c r="C44" s="18" t="s">
        <v>81</v>
      </c>
    </row>
    <row r="45" spans="1:12" ht="16.5" customHeight="1" x14ac:dyDescent="0.3">
      <c r="A45" s="26" t="s">
        <v>82</v>
      </c>
      <c r="B45" s="35">
        <v>7.0000000000000007E-2</v>
      </c>
      <c r="C45" s="18" t="s">
        <v>83</v>
      </c>
    </row>
    <row r="46" spans="1:12" ht="16.5" customHeight="1" x14ac:dyDescent="0.3">
      <c r="A46" s="23" t="s">
        <v>84</v>
      </c>
      <c r="B46" s="37">
        <f>ROUND(B43+B44*B45,4)</f>
        <v>0.14660000000000001</v>
      </c>
      <c r="C46" s="38" t="s">
        <v>85</v>
      </c>
    </row>
    <row r="47" spans="1:12" ht="16.5" customHeight="1" x14ac:dyDescent="0.3">
      <c r="A47" s="39" t="s">
        <v>86</v>
      </c>
      <c r="B47" s="40">
        <f>B49*B46</f>
        <v>0.14660000000000001</v>
      </c>
      <c r="C47" s="38" t="s">
        <v>87</v>
      </c>
    </row>
    <row r="48" spans="1:12" ht="16.5" customHeight="1" x14ac:dyDescent="0.3">
      <c r="A48" s="26" t="s">
        <v>88</v>
      </c>
      <c r="B48" s="35">
        <v>4.4999999999999998E-2</v>
      </c>
      <c r="C48" s="18" t="s">
        <v>89</v>
      </c>
    </row>
    <row r="49" spans="1:3" ht="16.5" customHeight="1" x14ac:dyDescent="0.3">
      <c r="A49" s="26" t="s">
        <v>90</v>
      </c>
      <c r="B49" s="29">
        <v>1</v>
      </c>
      <c r="C49" s="18" t="s">
        <v>91</v>
      </c>
    </row>
    <row r="50" spans="1:3" ht="16.5" customHeight="1" x14ac:dyDescent="0.3">
      <c r="A50" s="26" t="s">
        <v>92</v>
      </c>
      <c r="B50" s="29">
        <v>0</v>
      </c>
      <c r="C50" s="18" t="s">
        <v>93</v>
      </c>
    </row>
    <row r="51" spans="1:3" ht="16.5" customHeight="1" x14ac:dyDescent="0.3">
      <c r="A51" s="41" t="s">
        <v>94</v>
      </c>
    </row>
    <row r="52" spans="1:3" ht="21.75" customHeight="1" x14ac:dyDescent="0.3">
      <c r="A52" s="41" t="s">
        <v>95</v>
      </c>
    </row>
  </sheetData>
  <mergeCells count="7">
    <mergeCell ref="A30:K30"/>
    <mergeCell ref="A41:E41"/>
    <mergeCell ref="A1:K1"/>
    <mergeCell ref="A5:K5"/>
    <mergeCell ref="A10:K10"/>
    <mergeCell ref="A17:K17"/>
    <mergeCell ref="A24:K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showGridLines="0" zoomScale="44" zoomScaleNormal="100" workbookViewId="0">
      <selection sqref="A1:K1"/>
    </sheetView>
  </sheetViews>
  <sheetFormatPr defaultColWidth="8.6640625" defaultRowHeight="14.4" x14ac:dyDescent="0.3"/>
  <cols>
    <col min="1" max="1" width="34" customWidth="1"/>
    <col min="2" max="11" width="13" customWidth="1"/>
  </cols>
  <sheetData>
    <row r="1" spans="1:11" ht="30" customHeight="1" x14ac:dyDescent="0.3">
      <c r="A1" s="142" t="s">
        <v>96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</row>
    <row r="4" spans="1:11" ht="19.5" customHeight="1" x14ac:dyDescent="0.3">
      <c r="A4" s="18" t="s">
        <v>37</v>
      </c>
      <c r="B4" s="19" t="s">
        <v>38</v>
      </c>
      <c r="C4" s="19" t="s">
        <v>39</v>
      </c>
      <c r="D4" s="19" t="s">
        <v>40</v>
      </c>
      <c r="E4" s="19" t="s">
        <v>41</v>
      </c>
      <c r="F4" s="20" t="s">
        <v>42</v>
      </c>
      <c r="G4" s="21" t="s">
        <v>43</v>
      </c>
      <c r="H4" s="21" t="s">
        <v>44</v>
      </c>
      <c r="I4" s="21" t="s">
        <v>45</v>
      </c>
      <c r="J4" s="21" t="s">
        <v>46</v>
      </c>
      <c r="K4" s="21" t="s">
        <v>47</v>
      </c>
    </row>
    <row r="5" spans="1:11" ht="18" customHeight="1" x14ac:dyDescent="0.3">
      <c r="A5" s="143" t="s">
        <v>97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</row>
    <row r="6" spans="1:11" ht="16.5" customHeight="1" x14ac:dyDescent="0.3">
      <c r="A6" s="23" t="s">
        <v>98</v>
      </c>
      <c r="B6" s="42">
        <f>Assumptions!B6</f>
        <v>950</v>
      </c>
      <c r="C6" s="42">
        <f>Assumptions!C6</f>
        <v>1837</v>
      </c>
      <c r="D6" s="42">
        <f>Assumptions!D6</f>
        <v>2286</v>
      </c>
      <c r="E6" s="42">
        <f>Assumptions!E6</f>
        <v>2846</v>
      </c>
      <c r="F6" s="42">
        <f>Assumptions!F6</f>
        <v>3769</v>
      </c>
      <c r="G6" s="42">
        <f>Assumptions!G6</f>
        <v>4296.6600000000008</v>
      </c>
      <c r="H6" s="42">
        <f>Assumptions!H6</f>
        <v>4915.3790400000007</v>
      </c>
      <c r="I6" s="42">
        <f>Assumptions!I6</f>
        <v>5613.3628636800004</v>
      </c>
      <c r="J6" s="42">
        <f>Assumptions!J6</f>
        <v>6286.9664073216009</v>
      </c>
      <c r="K6" s="42">
        <f>Assumptions!K6</f>
        <v>6915.6630480537615</v>
      </c>
    </row>
    <row r="7" spans="1:11" ht="16.5" customHeight="1" x14ac:dyDescent="0.3">
      <c r="A7" s="26" t="s">
        <v>99</v>
      </c>
      <c r="B7" s="27" t="s">
        <v>51</v>
      </c>
      <c r="C7" s="43">
        <f t="shared" ref="C7:K7" si="0">C6/B6-1</f>
        <v>0.93368421052631589</v>
      </c>
      <c r="D7" s="43">
        <f t="shared" si="0"/>
        <v>0.24442025040827442</v>
      </c>
      <c r="E7" s="43">
        <f t="shared" si="0"/>
        <v>0.24496937882764658</v>
      </c>
      <c r="F7" s="43">
        <f t="shared" si="0"/>
        <v>0.32431482782853127</v>
      </c>
      <c r="G7" s="43">
        <f t="shared" si="0"/>
        <v>0.14000000000000012</v>
      </c>
      <c r="H7" s="43">
        <f t="shared" si="0"/>
        <v>0.14399999999999991</v>
      </c>
      <c r="I7" s="43">
        <f t="shared" si="0"/>
        <v>0.1419999999999999</v>
      </c>
      <c r="J7" s="43">
        <f t="shared" si="0"/>
        <v>0.12000000000000011</v>
      </c>
      <c r="K7" s="43">
        <f t="shared" si="0"/>
        <v>0.10000000000000009</v>
      </c>
    </row>
    <row r="8" spans="1:11" ht="18" customHeight="1" x14ac:dyDescent="0.3">
      <c r="A8" s="143" t="s">
        <v>100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</row>
    <row r="9" spans="1:11" ht="16.5" customHeight="1" x14ac:dyDescent="0.3">
      <c r="A9" s="26" t="s">
        <v>101</v>
      </c>
      <c r="B9" s="44">
        <f>-B6*Assumptions!B18</f>
        <v>-550.04999999999995</v>
      </c>
      <c r="C9" s="44">
        <f>-C6*Assumptions!C18</f>
        <v>-1054.4379999999999</v>
      </c>
      <c r="D9" s="44">
        <f>-D6*Assumptions!D18</f>
        <v>-1280.1600000000001</v>
      </c>
      <c r="E9" s="44">
        <f>-E6*Assumptions!E18</f>
        <v>-1539.6860000000001</v>
      </c>
      <c r="F9" s="44">
        <f>-F6*Assumptions!F18</f>
        <v>-1978.7250000000001</v>
      </c>
      <c r="G9" s="44">
        <f>-G6*Assumptions!G18</f>
        <v>-2204.1865800000005</v>
      </c>
      <c r="H9" s="44">
        <f>-H6*Assumptions!H18</f>
        <v>-2472.4356571200005</v>
      </c>
      <c r="I9" s="44">
        <f>-I6*Assumptions!I18</f>
        <v>-2767.3878917942402</v>
      </c>
      <c r="J9" s="44">
        <f>-J6*Assumptions!J18</f>
        <v>-3036.6047747363332</v>
      </c>
      <c r="K9" s="44">
        <f>-K6*Assumptions!K18</f>
        <v>-3271.1086217294292</v>
      </c>
    </row>
    <row r="10" spans="1:11" ht="16.5" customHeight="1" x14ac:dyDescent="0.3">
      <c r="A10" s="26" t="s">
        <v>102</v>
      </c>
      <c r="B10" s="44">
        <f>-B6*Assumptions!B19</f>
        <v>-95</v>
      </c>
      <c r="C10" s="44">
        <f>-C6*Assumptions!C19</f>
        <v>-174.51500000000001</v>
      </c>
      <c r="D10" s="44">
        <f>-D6*Assumptions!D19</f>
        <v>-214.88400000000001</v>
      </c>
      <c r="E10" s="44">
        <f>-E6*Assumptions!E19</f>
        <v>-258.98599999999999</v>
      </c>
      <c r="F10" s="44">
        <f>-F6*Assumptions!F19</f>
        <v>-339.21</v>
      </c>
      <c r="G10" s="44">
        <f>-G6*Assumptions!G19</f>
        <v>-386.69940000000008</v>
      </c>
      <c r="H10" s="44">
        <f>-H6*Assumptions!H19</f>
        <v>-442.38411360000003</v>
      </c>
      <c r="I10" s="44">
        <f>-I6*Assumptions!I19</f>
        <v>-505.20265773120002</v>
      </c>
      <c r="J10" s="44">
        <f>-J6*Assumptions!J19</f>
        <v>-565.82697665894409</v>
      </c>
      <c r="K10" s="44">
        <f>-K6*Assumptions!K19</f>
        <v>-622.40967432483853</v>
      </c>
    </row>
    <row r="11" spans="1:11" ht="16.5" customHeight="1" x14ac:dyDescent="0.3">
      <c r="A11" s="23" t="s">
        <v>103</v>
      </c>
      <c r="B11" s="25">
        <f t="shared" ref="B11:K11" si="1">B9+B10</f>
        <v>-645.04999999999995</v>
      </c>
      <c r="C11" s="25">
        <f t="shared" si="1"/>
        <v>-1228.953</v>
      </c>
      <c r="D11" s="25">
        <f t="shared" si="1"/>
        <v>-1495.0440000000001</v>
      </c>
      <c r="E11" s="25">
        <f t="shared" si="1"/>
        <v>-1798.672</v>
      </c>
      <c r="F11" s="25">
        <f t="shared" si="1"/>
        <v>-2317.9349999999999</v>
      </c>
      <c r="G11" s="25">
        <f t="shared" si="1"/>
        <v>-2590.8859800000005</v>
      </c>
      <c r="H11" s="25">
        <f t="shared" si="1"/>
        <v>-2914.8197707200006</v>
      </c>
      <c r="I11" s="25">
        <f t="shared" si="1"/>
        <v>-3272.5905495254401</v>
      </c>
      <c r="J11" s="25">
        <f t="shared" si="1"/>
        <v>-3602.4317513952774</v>
      </c>
      <c r="K11" s="25">
        <f t="shared" si="1"/>
        <v>-3893.5182960542679</v>
      </c>
    </row>
    <row r="12" spans="1:11" ht="16.5" customHeight="1" x14ac:dyDescent="0.3">
      <c r="A12" s="23" t="s">
        <v>104</v>
      </c>
      <c r="B12" s="25">
        <f t="shared" ref="B12:K12" si="2">B6+B11</f>
        <v>304.95000000000005</v>
      </c>
      <c r="C12" s="25">
        <f t="shared" si="2"/>
        <v>608.04700000000003</v>
      </c>
      <c r="D12" s="25">
        <f t="shared" si="2"/>
        <v>790.9559999999999</v>
      </c>
      <c r="E12" s="25">
        <f t="shared" si="2"/>
        <v>1047.328</v>
      </c>
      <c r="F12" s="25">
        <f t="shared" si="2"/>
        <v>1451.0650000000001</v>
      </c>
      <c r="G12" s="25">
        <f t="shared" si="2"/>
        <v>1705.7740200000003</v>
      </c>
      <c r="H12" s="25">
        <f t="shared" si="2"/>
        <v>2000.5592692800001</v>
      </c>
      <c r="I12" s="25">
        <f t="shared" si="2"/>
        <v>2340.7723141545603</v>
      </c>
      <c r="J12" s="25">
        <f t="shared" si="2"/>
        <v>2684.5346559263235</v>
      </c>
      <c r="K12" s="25">
        <f t="shared" si="2"/>
        <v>3022.1447519994936</v>
      </c>
    </row>
    <row r="13" spans="1:11" ht="16.5" customHeight="1" x14ac:dyDescent="0.3">
      <c r="A13" s="26" t="s">
        <v>53</v>
      </c>
      <c r="B13" s="43">
        <f t="shared" ref="B13:K13" si="3">B12/B6</f>
        <v>0.32100000000000006</v>
      </c>
      <c r="C13" s="43">
        <f t="shared" si="3"/>
        <v>0.33100000000000002</v>
      </c>
      <c r="D13" s="43">
        <f t="shared" si="3"/>
        <v>0.34599999999999997</v>
      </c>
      <c r="E13" s="43">
        <f t="shared" si="3"/>
        <v>0.36799999999999999</v>
      </c>
      <c r="F13" s="43">
        <f t="shared" si="3"/>
        <v>0.38500000000000001</v>
      </c>
      <c r="G13" s="43">
        <f t="shared" si="3"/>
        <v>0.39700000000000002</v>
      </c>
      <c r="H13" s="43">
        <f t="shared" si="3"/>
        <v>0.40699999999999997</v>
      </c>
      <c r="I13" s="43">
        <f t="shared" si="3"/>
        <v>0.41700000000000004</v>
      </c>
      <c r="J13" s="43">
        <f t="shared" si="3"/>
        <v>0.42699999999999999</v>
      </c>
      <c r="K13" s="43">
        <f t="shared" si="3"/>
        <v>0.43699999999999994</v>
      </c>
    </row>
    <row r="14" spans="1:11" ht="18" customHeight="1" x14ac:dyDescent="0.3">
      <c r="A14" s="143" t="s">
        <v>105</v>
      </c>
      <c r="B14" s="143"/>
      <c r="C14" s="143"/>
      <c r="D14" s="143"/>
      <c r="E14" s="143"/>
      <c r="F14" s="143"/>
      <c r="G14" s="143"/>
      <c r="H14" s="143"/>
      <c r="I14" s="143"/>
      <c r="J14" s="143"/>
      <c r="K14" s="143"/>
    </row>
    <row r="15" spans="1:11" ht="16.5" customHeight="1" x14ac:dyDescent="0.3">
      <c r="A15" s="26" t="s">
        <v>106</v>
      </c>
      <c r="B15" s="44">
        <f>-B6*Assumptions!B20</f>
        <v>-190</v>
      </c>
      <c r="C15" s="44">
        <f>-C6*Assumptions!C20</f>
        <v>-367.40000000000003</v>
      </c>
      <c r="D15" s="44">
        <f>-D6*Assumptions!D20</f>
        <v>-457.20000000000005</v>
      </c>
      <c r="E15" s="44">
        <f>-E6*Assumptions!E20</f>
        <v>-540.74</v>
      </c>
      <c r="F15" s="44">
        <f>-F6*Assumptions!F20</f>
        <v>-678.42</v>
      </c>
      <c r="G15" s="44">
        <f>-G6*Assumptions!G20</f>
        <v>-730.43220000000019</v>
      </c>
      <c r="H15" s="44">
        <f>-H6*Assumptions!H20</f>
        <v>-811.03754160000017</v>
      </c>
      <c r="I15" s="44">
        <f>-I6*Assumptions!I20</f>
        <v>-898.13805818880007</v>
      </c>
      <c r="J15" s="44">
        <f>-J6*Assumptions!J20</f>
        <v>-974.47979313484814</v>
      </c>
      <c r="K15" s="44">
        <f>-K6*Assumptions!K20</f>
        <v>-1037.3494572080642</v>
      </c>
    </row>
    <row r="16" spans="1:11" ht="16.5" customHeight="1" x14ac:dyDescent="0.3">
      <c r="A16" s="26" t="s">
        <v>107</v>
      </c>
      <c r="B16" s="44">
        <f>-B6*Assumptions!B19</f>
        <v>-95</v>
      </c>
      <c r="C16" s="44">
        <f>-C6*Assumptions!C19</f>
        <v>-174.51500000000001</v>
      </c>
      <c r="D16" s="44">
        <f>-D6*Assumptions!D19</f>
        <v>-214.88400000000001</v>
      </c>
      <c r="E16" s="44">
        <f>-E6*Assumptions!E19</f>
        <v>-258.98599999999999</v>
      </c>
      <c r="F16" s="44">
        <f>-F6*Assumptions!F19</f>
        <v>-339.21</v>
      </c>
      <c r="G16" s="44">
        <f>-G6*Assumptions!G19</f>
        <v>-386.69940000000008</v>
      </c>
      <c r="H16" s="44">
        <f>-H6*Assumptions!H19</f>
        <v>-442.38411360000003</v>
      </c>
      <c r="I16" s="44">
        <f>-I6*Assumptions!I19</f>
        <v>-505.20265773120002</v>
      </c>
      <c r="J16" s="44">
        <f>-J6*Assumptions!J19</f>
        <v>-565.82697665894409</v>
      </c>
      <c r="K16" s="44">
        <f>-K6*Assumptions!K19</f>
        <v>-622.40967432483853</v>
      </c>
    </row>
    <row r="17" spans="1:11" ht="16.5" customHeight="1" x14ac:dyDescent="0.3">
      <c r="A17" s="26" t="s">
        <v>108</v>
      </c>
      <c r="B17" s="44">
        <f>-B6*Assumptions!B21</f>
        <v>-52.25</v>
      </c>
      <c r="C17" s="44">
        <f>-C6*Assumptions!C21</f>
        <v>-97.361000000000004</v>
      </c>
      <c r="D17" s="44">
        <f>-D6*Assumptions!D21</f>
        <v>-137.16</v>
      </c>
      <c r="E17" s="44">
        <f>-E6*Assumptions!E21</f>
        <v>-170.76</v>
      </c>
      <c r="F17" s="44">
        <f>-F6*Assumptions!F21</f>
        <v>-226.14</v>
      </c>
      <c r="G17" s="44">
        <f>-G6*Assumptions!G21</f>
        <v>-249.20628000000005</v>
      </c>
      <c r="H17" s="44">
        <f>-H6*Assumptions!H21</f>
        <v>-275.26122624000004</v>
      </c>
      <c r="I17" s="44">
        <f>-I6*Assumptions!I21</f>
        <v>-303.12159463872001</v>
      </c>
      <c r="J17" s="44">
        <f>-J6*Assumptions!J21</f>
        <v>-326.9222531807232</v>
      </c>
      <c r="K17" s="44">
        <f>-K6*Assumptions!K21</f>
        <v>-345.78315240268807</v>
      </c>
    </row>
    <row r="18" spans="1:11" ht="16.5" customHeight="1" x14ac:dyDescent="0.3">
      <c r="A18" s="23" t="s">
        <v>109</v>
      </c>
      <c r="B18" s="25">
        <f t="shared" ref="B18:K18" si="4">B15+B16+B17</f>
        <v>-337.25</v>
      </c>
      <c r="C18" s="25">
        <f t="shared" si="4"/>
        <v>-639.27600000000007</v>
      </c>
      <c r="D18" s="25">
        <f t="shared" si="4"/>
        <v>-809.24400000000003</v>
      </c>
      <c r="E18" s="25">
        <f t="shared" si="4"/>
        <v>-970.48599999999999</v>
      </c>
      <c r="F18" s="25">
        <f t="shared" si="4"/>
        <v>-1243.77</v>
      </c>
      <c r="G18" s="25">
        <f t="shared" si="4"/>
        <v>-1366.3378800000003</v>
      </c>
      <c r="H18" s="25">
        <f t="shared" si="4"/>
        <v>-1528.6828814400003</v>
      </c>
      <c r="I18" s="25">
        <f t="shared" si="4"/>
        <v>-1706.4623105587202</v>
      </c>
      <c r="J18" s="25">
        <f t="shared" si="4"/>
        <v>-1867.2290229745154</v>
      </c>
      <c r="K18" s="25">
        <f t="shared" si="4"/>
        <v>-2005.5422839355908</v>
      </c>
    </row>
    <row r="19" spans="1:11" ht="18" customHeight="1" x14ac:dyDescent="0.3">
      <c r="A19" s="143" t="s">
        <v>110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</row>
    <row r="20" spans="1:11" ht="16.5" customHeight="1" x14ac:dyDescent="0.3">
      <c r="A20" s="23" t="s">
        <v>111</v>
      </c>
      <c r="B20" s="25">
        <f>B6*Assumptions!B12</f>
        <v>473.1</v>
      </c>
      <c r="C20" s="25">
        <f>C6*Assumptions!C12</f>
        <v>516.197</v>
      </c>
      <c r="D20" s="25">
        <f>D6*Assumptions!D12</f>
        <v>681.22799999999995</v>
      </c>
      <c r="E20" s="25">
        <f>E6*Assumptions!E12</f>
        <v>910.72</v>
      </c>
      <c r="F20" s="25">
        <f>F6*Assumptions!F12</f>
        <v>1500.0620000000001</v>
      </c>
      <c r="G20" s="25">
        <f>G6*Assumptions!G12</f>
        <v>1761.6306000000002</v>
      </c>
      <c r="H20" s="25">
        <f>H6*Assumptions!H12</f>
        <v>2064.4591968000004</v>
      </c>
      <c r="I20" s="25">
        <f>I6*Assumptions!I12</f>
        <v>2385.6792170640001</v>
      </c>
      <c r="J20" s="25">
        <f>J6*Assumptions!J12</f>
        <v>2703.3955551482882</v>
      </c>
      <c r="K20" s="25">
        <f>K6*Assumptions!K12</f>
        <v>2973.7351106631172</v>
      </c>
    </row>
    <row r="21" spans="1:11" ht="16.5" customHeight="1" x14ac:dyDescent="0.3">
      <c r="A21" s="26" t="s">
        <v>54</v>
      </c>
      <c r="B21" s="43">
        <f t="shared" ref="B21:K21" si="5">B20/B6</f>
        <v>0.498</v>
      </c>
      <c r="C21" s="43">
        <f t="shared" si="5"/>
        <v>0.28100000000000003</v>
      </c>
      <c r="D21" s="43">
        <f t="shared" si="5"/>
        <v>0.29799999999999999</v>
      </c>
      <c r="E21" s="43">
        <f t="shared" si="5"/>
        <v>0.32</v>
      </c>
      <c r="F21" s="43">
        <f t="shared" si="5"/>
        <v>0.39800000000000002</v>
      </c>
      <c r="G21" s="43">
        <f t="shared" si="5"/>
        <v>0.41</v>
      </c>
      <c r="H21" s="43">
        <f t="shared" si="5"/>
        <v>0.42000000000000004</v>
      </c>
      <c r="I21" s="43">
        <f t="shared" si="5"/>
        <v>0.42499999999999999</v>
      </c>
      <c r="J21" s="43">
        <f t="shared" si="5"/>
        <v>0.43</v>
      </c>
      <c r="K21" s="43">
        <f t="shared" si="5"/>
        <v>0.43</v>
      </c>
    </row>
    <row r="22" spans="1:11" ht="16.5" customHeight="1" x14ac:dyDescent="0.3">
      <c r="A22" s="26" t="s">
        <v>112</v>
      </c>
      <c r="B22" s="44">
        <f t="shared" ref="B22:K22" si="6">-(B20-B23)</f>
        <v>-457.90000000000003</v>
      </c>
      <c r="C22" s="44">
        <f t="shared" si="6"/>
        <v>-464.76100000000002</v>
      </c>
      <c r="D22" s="44">
        <f t="shared" si="6"/>
        <v>-594.3599999999999</v>
      </c>
      <c r="E22" s="44">
        <f t="shared" si="6"/>
        <v>-711.5</v>
      </c>
      <c r="F22" s="44">
        <f t="shared" si="6"/>
        <v>-1130.7</v>
      </c>
      <c r="G22" s="44">
        <f t="shared" si="6"/>
        <v>-1288.998</v>
      </c>
      <c r="H22" s="44">
        <f t="shared" si="6"/>
        <v>-1450.0368168000005</v>
      </c>
      <c r="I22" s="44">
        <f t="shared" si="6"/>
        <v>-1627.8752304672</v>
      </c>
      <c r="J22" s="44">
        <f t="shared" si="6"/>
        <v>-1791.7854260866561</v>
      </c>
      <c r="K22" s="44">
        <f t="shared" si="6"/>
        <v>-1936.385653455053</v>
      </c>
    </row>
    <row r="23" spans="1:11" ht="16.5" customHeight="1" x14ac:dyDescent="0.3">
      <c r="A23" s="23" t="s">
        <v>113</v>
      </c>
      <c r="B23" s="25">
        <f>B6*Assumptions!B13</f>
        <v>15.200000000000001</v>
      </c>
      <c r="C23" s="25">
        <f>C6*Assumptions!C13</f>
        <v>51.436</v>
      </c>
      <c r="D23" s="25">
        <f>D6*Assumptions!D13</f>
        <v>86.867999999999995</v>
      </c>
      <c r="E23" s="25">
        <f>E6*Assumptions!E13</f>
        <v>199.22000000000003</v>
      </c>
      <c r="F23" s="25">
        <f>F6*Assumptions!F13</f>
        <v>369.36200000000002</v>
      </c>
      <c r="G23" s="25">
        <f>G6*Assumptions!G13</f>
        <v>472.63260000000008</v>
      </c>
      <c r="H23" s="25">
        <f>H6*Assumptions!H13</f>
        <v>614.42238000000009</v>
      </c>
      <c r="I23" s="25">
        <f>I6*Assumptions!I13</f>
        <v>757.80398659680009</v>
      </c>
      <c r="J23" s="25">
        <f>J6*Assumptions!J13</f>
        <v>911.61012906163205</v>
      </c>
      <c r="K23" s="25">
        <f>K6*Assumptions!K13</f>
        <v>1037.3494572080642</v>
      </c>
    </row>
    <row r="24" spans="1:11" ht="16.5" customHeight="1" x14ac:dyDescent="0.3">
      <c r="A24" s="26" t="s">
        <v>114</v>
      </c>
      <c r="B24" s="43">
        <f t="shared" ref="B24:K24" si="7">B23/B6</f>
        <v>1.6E-2</v>
      </c>
      <c r="C24" s="43">
        <f t="shared" si="7"/>
        <v>2.8000000000000001E-2</v>
      </c>
      <c r="D24" s="43">
        <f t="shared" si="7"/>
        <v>3.7999999999999999E-2</v>
      </c>
      <c r="E24" s="43">
        <f t="shared" si="7"/>
        <v>7.0000000000000007E-2</v>
      </c>
      <c r="F24" s="43">
        <f t="shared" si="7"/>
        <v>9.8000000000000004E-2</v>
      </c>
      <c r="G24" s="43">
        <f t="shared" si="7"/>
        <v>0.11</v>
      </c>
      <c r="H24" s="43">
        <f t="shared" si="7"/>
        <v>0.125</v>
      </c>
      <c r="I24" s="43">
        <f t="shared" si="7"/>
        <v>0.13500000000000001</v>
      </c>
      <c r="J24" s="43">
        <f t="shared" si="7"/>
        <v>0.14499999999999999</v>
      </c>
      <c r="K24" s="43">
        <f t="shared" si="7"/>
        <v>0.15</v>
      </c>
    </row>
    <row r="25" spans="1:11" ht="16.5" customHeight="1" x14ac:dyDescent="0.3">
      <c r="A25" s="23" t="s">
        <v>115</v>
      </c>
      <c r="B25" s="25">
        <f t="shared" ref="B25:K25" si="8">B23</f>
        <v>15.200000000000001</v>
      </c>
      <c r="C25" s="25">
        <f t="shared" si="8"/>
        <v>51.436</v>
      </c>
      <c r="D25" s="25">
        <f t="shared" si="8"/>
        <v>86.867999999999995</v>
      </c>
      <c r="E25" s="25">
        <f t="shared" si="8"/>
        <v>199.22000000000003</v>
      </c>
      <c r="F25" s="25">
        <f t="shared" si="8"/>
        <v>369.36200000000002</v>
      </c>
      <c r="G25" s="25">
        <f t="shared" si="8"/>
        <v>472.63260000000008</v>
      </c>
      <c r="H25" s="25">
        <f t="shared" si="8"/>
        <v>614.42238000000009</v>
      </c>
      <c r="I25" s="25">
        <f t="shared" si="8"/>
        <v>757.80398659680009</v>
      </c>
      <c r="J25" s="25">
        <f t="shared" si="8"/>
        <v>911.61012906163205</v>
      </c>
      <c r="K25" s="25">
        <f t="shared" si="8"/>
        <v>1037.3494572080642</v>
      </c>
    </row>
    <row r="26" spans="1:11" ht="16.5" customHeight="1" x14ac:dyDescent="0.3">
      <c r="A26" s="26" t="s">
        <v>116</v>
      </c>
      <c r="B26" s="44">
        <f>IF(B25&gt;0,-B25*Assumptions!B14,0)</f>
        <v>-5.0616000000000003</v>
      </c>
      <c r="C26" s="44">
        <f>IF(C25&gt;0,-C25*Assumptions!C14,0)</f>
        <v>-33.073348000000003</v>
      </c>
      <c r="D26" s="44">
        <f>IF(D25&gt;0,-D25*Assumptions!D14,0)</f>
        <v>-54.553103999999998</v>
      </c>
      <c r="E26" s="44">
        <f>IF(E25&gt;0,-E25*Assumptions!E14,0)</f>
        <v>-149.81344000000001</v>
      </c>
      <c r="F26" s="44">
        <f>IF(F25&gt;0,-F25*Assumptions!F14,0)</f>
        <v>-287.36363600000004</v>
      </c>
      <c r="G26" s="44">
        <f>IF(G25&gt;0,-G25*Assumptions!G14,0)</f>
        <v>-118.15815000000002</v>
      </c>
      <c r="H26" s="44">
        <f>IF(H25&gt;0,-H25*Assumptions!H14,0)</f>
        <v>-153.60559500000002</v>
      </c>
      <c r="I26" s="44">
        <f>IF(I25&gt;0,-I25*Assumptions!I14,0)</f>
        <v>-189.45099664920002</v>
      </c>
      <c r="J26" s="44">
        <f>IF(J25&gt;0,-J25*Assumptions!J14,0)</f>
        <v>-227.90253226540801</v>
      </c>
      <c r="K26" s="44">
        <f>IF(K25&gt;0,-K25*Assumptions!K14,0)</f>
        <v>-259.33736430201606</v>
      </c>
    </row>
    <row r="27" spans="1:11" ht="16.5" customHeight="1" x14ac:dyDescent="0.3">
      <c r="A27" s="26" t="s">
        <v>117</v>
      </c>
      <c r="B27" s="43">
        <f t="shared" ref="B27:K27" si="9">IF(B25&lt;&gt;0,ABS(B26/B25),0)</f>
        <v>0.33300000000000002</v>
      </c>
      <c r="C27" s="43">
        <f t="shared" si="9"/>
        <v>0.64300000000000002</v>
      </c>
      <c r="D27" s="43">
        <f t="shared" si="9"/>
        <v>0.628</v>
      </c>
      <c r="E27" s="43">
        <f t="shared" si="9"/>
        <v>0.752</v>
      </c>
      <c r="F27" s="43">
        <f t="shared" si="9"/>
        <v>0.77800000000000002</v>
      </c>
      <c r="G27" s="43">
        <f t="shared" si="9"/>
        <v>0.25</v>
      </c>
      <c r="H27" s="43">
        <f t="shared" si="9"/>
        <v>0.25</v>
      </c>
      <c r="I27" s="43">
        <f t="shared" si="9"/>
        <v>0.25</v>
      </c>
      <c r="J27" s="43">
        <f t="shared" si="9"/>
        <v>0.25</v>
      </c>
      <c r="K27" s="43">
        <f t="shared" si="9"/>
        <v>0.25</v>
      </c>
    </row>
    <row r="28" spans="1:11" ht="16.5" customHeight="1" x14ac:dyDescent="0.3">
      <c r="A28" s="39" t="s">
        <v>118</v>
      </c>
      <c r="B28" s="45">
        <f t="shared" ref="B28:K28" si="10">B25+B26</f>
        <v>10.138400000000001</v>
      </c>
      <c r="C28" s="45">
        <f t="shared" si="10"/>
        <v>18.362651999999997</v>
      </c>
      <c r="D28" s="45">
        <f t="shared" si="10"/>
        <v>32.314895999999997</v>
      </c>
      <c r="E28" s="45">
        <f t="shared" si="10"/>
        <v>49.406560000000013</v>
      </c>
      <c r="F28" s="45">
        <f t="shared" si="10"/>
        <v>81.998363999999981</v>
      </c>
      <c r="G28" s="45">
        <f t="shared" si="10"/>
        <v>354.47445000000005</v>
      </c>
      <c r="H28" s="45">
        <f t="shared" si="10"/>
        <v>460.8167850000001</v>
      </c>
      <c r="I28" s="45">
        <f t="shared" si="10"/>
        <v>568.35298994760001</v>
      </c>
      <c r="J28" s="45">
        <f t="shared" si="10"/>
        <v>683.70759679622404</v>
      </c>
      <c r="K28" s="45">
        <f t="shared" si="10"/>
        <v>778.01209290604811</v>
      </c>
    </row>
    <row r="29" spans="1:11" ht="16.5" customHeight="1" x14ac:dyDescent="0.3">
      <c r="A29" s="26" t="s">
        <v>119</v>
      </c>
      <c r="B29" s="43">
        <f t="shared" ref="B29:K29" si="11">B28/B6</f>
        <v>1.0672000000000001E-2</v>
      </c>
      <c r="C29" s="43">
        <f t="shared" si="11"/>
        <v>9.9959999999999979E-3</v>
      </c>
      <c r="D29" s="43">
        <f t="shared" si="11"/>
        <v>1.4135999999999999E-2</v>
      </c>
      <c r="E29" s="43">
        <f t="shared" si="11"/>
        <v>1.7360000000000004E-2</v>
      </c>
      <c r="F29" s="43">
        <f t="shared" si="11"/>
        <v>2.1755999999999994E-2</v>
      </c>
      <c r="G29" s="43">
        <f t="shared" si="11"/>
        <v>8.249999999999999E-2</v>
      </c>
      <c r="H29" s="43">
        <f t="shared" si="11"/>
        <v>9.375E-2</v>
      </c>
      <c r="I29" s="43">
        <f t="shared" si="11"/>
        <v>0.10124999999999999</v>
      </c>
      <c r="J29" s="43">
        <f t="shared" si="11"/>
        <v>0.10874999999999999</v>
      </c>
      <c r="K29" s="43">
        <f t="shared" si="11"/>
        <v>0.11249999999999999</v>
      </c>
    </row>
    <row r="30" spans="1:11" ht="18" customHeight="1" x14ac:dyDescent="0.3">
      <c r="A30" s="143" t="s">
        <v>120</v>
      </c>
      <c r="B30" s="143"/>
      <c r="C30" s="143"/>
      <c r="D30" s="143"/>
      <c r="E30" s="143"/>
      <c r="F30" s="143"/>
      <c r="G30" s="143"/>
      <c r="H30" s="143"/>
      <c r="I30" s="143"/>
      <c r="J30" s="143"/>
      <c r="K30" s="143"/>
    </row>
    <row r="31" spans="1:11" ht="16.5" customHeight="1" x14ac:dyDescent="0.3">
      <c r="A31" s="26" t="s">
        <v>63</v>
      </c>
      <c r="B31" s="46">
        <f>Assumptions!B25</f>
        <v>3.5</v>
      </c>
      <c r="C31" s="46">
        <f>Assumptions!C25</f>
        <v>5.5</v>
      </c>
      <c r="D31" s="46">
        <f>Assumptions!D25</f>
        <v>7</v>
      </c>
      <c r="E31" s="46">
        <f>Assumptions!E25</f>
        <v>17</v>
      </c>
      <c r="F31" s="46">
        <f>Assumptions!F25</f>
        <v>21</v>
      </c>
      <c r="G31" s="46">
        <f>Assumptions!G25</f>
        <v>25</v>
      </c>
      <c r="H31" s="46">
        <f>Assumptions!H25</f>
        <v>30</v>
      </c>
      <c r="I31" s="46">
        <f>Assumptions!I25</f>
        <v>35</v>
      </c>
      <c r="J31" s="46">
        <f>Assumptions!J25</f>
        <v>40</v>
      </c>
      <c r="K31" s="46">
        <f>Assumptions!K25</f>
        <v>44</v>
      </c>
    </row>
    <row r="32" spans="1:11" ht="16.5" customHeight="1" x14ac:dyDescent="0.3">
      <c r="A32" s="26" t="s">
        <v>64</v>
      </c>
      <c r="B32" s="47">
        <f>Assumptions!B26</f>
        <v>2257</v>
      </c>
      <c r="C32" s="47">
        <f>Assumptions!C26</f>
        <v>2783</v>
      </c>
      <c r="D32" s="47">
        <f>Assumptions!D26</f>
        <v>2721</v>
      </c>
      <c r="E32" s="47">
        <f>Assumptions!E26</f>
        <v>1395</v>
      </c>
      <c r="F32" s="47">
        <f>Assumptions!F26</f>
        <v>1496</v>
      </c>
      <c r="G32" s="47">
        <f>Assumptions!G26</f>
        <v>1433</v>
      </c>
      <c r="H32" s="47">
        <f>Assumptions!H26</f>
        <v>1367</v>
      </c>
      <c r="I32" s="47">
        <f>Assumptions!I26</f>
        <v>1338</v>
      </c>
      <c r="J32" s="47">
        <f>Assumptions!J26</f>
        <v>1310</v>
      </c>
      <c r="K32" s="47">
        <f>Assumptions!K26</f>
        <v>1310</v>
      </c>
    </row>
    <row r="33" spans="1:11" ht="16.5" customHeight="1" x14ac:dyDescent="0.3">
      <c r="A33" s="26" t="s">
        <v>65</v>
      </c>
      <c r="B33" s="48">
        <f>Assumptions!B27</f>
        <v>8.5000000000000006E-2</v>
      </c>
      <c r="C33" s="48">
        <f>Assumptions!C27</f>
        <v>0.112</v>
      </c>
      <c r="D33" s="48">
        <f>Assumptions!D27</f>
        <v>0.14499999999999999</v>
      </c>
      <c r="E33" s="48">
        <f>Assumptions!E27</f>
        <v>0.17499999999999999</v>
      </c>
      <c r="F33" s="48">
        <f>Assumptions!F27</f>
        <v>0.19</v>
      </c>
      <c r="G33" s="48">
        <f>Assumptions!G27</f>
        <v>0.19500000000000001</v>
      </c>
      <c r="H33" s="48">
        <f>Assumptions!H27</f>
        <v>0.2</v>
      </c>
      <c r="I33" s="48">
        <f>Assumptions!I27</f>
        <v>0.20499999999999999</v>
      </c>
      <c r="J33" s="48">
        <f>Assumptions!J27</f>
        <v>0.21</v>
      </c>
      <c r="K33" s="48">
        <f>Assumptions!K27</f>
        <v>0.215</v>
      </c>
    </row>
    <row r="35" spans="1:11" ht="18" customHeight="1" x14ac:dyDescent="0.3">
      <c r="A35" s="143" t="s">
        <v>121</v>
      </c>
      <c r="B35" s="143"/>
      <c r="C35" s="143"/>
      <c r="D35" s="143"/>
      <c r="E35" s="143"/>
      <c r="F35" s="143"/>
      <c r="G35" s="143"/>
      <c r="H35" s="143"/>
      <c r="I35" s="143"/>
      <c r="J35" s="143"/>
      <c r="K35" s="143"/>
    </row>
    <row r="36" spans="1:11" ht="16.5" customHeight="1" x14ac:dyDescent="0.3">
      <c r="A36" s="49" t="s">
        <v>122</v>
      </c>
      <c r="B36" s="50" t="s">
        <v>123</v>
      </c>
    </row>
    <row r="37" spans="1:11" ht="16.5" customHeight="1" x14ac:dyDescent="0.3">
      <c r="A37" s="51" t="s">
        <v>124</v>
      </c>
      <c r="B37" s="50" t="s">
        <v>125</v>
      </c>
    </row>
    <row r="38" spans="1:11" ht="16.5" customHeight="1" x14ac:dyDescent="0.3">
      <c r="A38" s="26" t="s">
        <v>126</v>
      </c>
      <c r="B38" s="50" t="s">
        <v>127</v>
      </c>
    </row>
  </sheetData>
  <mergeCells count="7">
    <mergeCell ref="A30:K30"/>
    <mergeCell ref="A35:K35"/>
    <mergeCell ref="A1:K1"/>
    <mergeCell ref="A5:K5"/>
    <mergeCell ref="A8:K8"/>
    <mergeCell ref="A14:K14"/>
    <mergeCell ref="A19:K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"/>
  <sheetViews>
    <sheetView showGridLines="0" zoomScaleNormal="100" workbookViewId="0">
      <selection sqref="A1:K1"/>
    </sheetView>
  </sheetViews>
  <sheetFormatPr defaultColWidth="8.6640625" defaultRowHeight="14.4" x14ac:dyDescent="0.3"/>
  <cols>
    <col min="1" max="1" width="34" customWidth="1"/>
    <col min="2" max="11" width="13" customWidth="1"/>
  </cols>
  <sheetData>
    <row r="1" spans="1:11" ht="30" customHeight="1" x14ac:dyDescent="0.3">
      <c r="A1" s="142" t="s">
        <v>128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</row>
    <row r="4" spans="1:11" ht="19.5" customHeight="1" x14ac:dyDescent="0.3">
      <c r="A4" s="18" t="s">
        <v>37</v>
      </c>
      <c r="B4" s="19" t="s">
        <v>38</v>
      </c>
      <c r="C4" s="19" t="s">
        <v>39</v>
      </c>
      <c r="D4" s="19" t="s">
        <v>40</v>
      </c>
      <c r="E4" s="19" t="s">
        <v>41</v>
      </c>
      <c r="F4" s="20" t="s">
        <v>42</v>
      </c>
      <c r="G4" s="21" t="s">
        <v>43</v>
      </c>
      <c r="H4" s="21" t="s">
        <v>44</v>
      </c>
      <c r="I4" s="21" t="s">
        <v>45</v>
      </c>
      <c r="J4" s="21" t="s">
        <v>46</v>
      </c>
      <c r="K4" s="21" t="s">
        <v>47</v>
      </c>
    </row>
    <row r="5" spans="1:11" ht="18" customHeight="1" x14ac:dyDescent="0.3">
      <c r="A5" s="143" t="s">
        <v>129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</row>
    <row r="6" spans="1:11" ht="16.5" customHeight="1" x14ac:dyDescent="0.3">
      <c r="A6" s="52" t="s">
        <v>130</v>
      </c>
      <c r="B6" s="24">
        <v>362</v>
      </c>
      <c r="C6" s="24">
        <v>571</v>
      </c>
      <c r="D6" s="24">
        <v>676</v>
      </c>
      <c r="E6" s="24">
        <v>800</v>
      </c>
      <c r="F6" s="24">
        <v>800</v>
      </c>
      <c r="G6" s="53">
        <f>'Cash Flow'!G29</f>
        <v>1107.6953220000003</v>
      </c>
      <c r="H6" s="53">
        <f>'Cash Flow'!H29</f>
        <v>1378.5121070000002</v>
      </c>
      <c r="I6" s="53">
        <f>'Cash Flow'!I29</f>
        <v>1744.8650969476</v>
      </c>
      <c r="J6" s="53">
        <f>'Cash Flow'!J29</f>
        <v>2202.5726937438239</v>
      </c>
      <c r="K6" s="53">
        <f>'Cash Flow'!K29</f>
        <v>2730.5847866498721</v>
      </c>
    </row>
    <row r="7" spans="1:11" ht="16.5" customHeight="1" x14ac:dyDescent="0.3">
      <c r="A7" s="26" t="s">
        <v>131</v>
      </c>
      <c r="B7" s="24">
        <v>20</v>
      </c>
      <c r="C7" s="24">
        <v>30</v>
      </c>
      <c r="D7" s="24">
        <v>40</v>
      </c>
      <c r="E7" s="24">
        <v>50</v>
      </c>
      <c r="F7" s="24">
        <v>50</v>
      </c>
      <c r="G7" s="44">
        <f>F7*1.02</f>
        <v>51</v>
      </c>
      <c r="H7" s="44">
        <f>G7*1.02</f>
        <v>52.02</v>
      </c>
      <c r="I7" s="44">
        <f>H7*1.02</f>
        <v>53.060400000000001</v>
      </c>
      <c r="J7" s="44">
        <f>I7*1.02</f>
        <v>54.121608000000002</v>
      </c>
      <c r="K7" s="44">
        <f>J7*1.02</f>
        <v>55.204040160000005</v>
      </c>
    </row>
    <row r="8" spans="1:11" ht="16.5" customHeight="1" x14ac:dyDescent="0.3">
      <c r="A8" s="26" t="s">
        <v>132</v>
      </c>
      <c r="B8" s="24">
        <v>86</v>
      </c>
      <c r="C8" s="24">
        <v>137</v>
      </c>
      <c r="D8" s="24">
        <v>207</v>
      </c>
      <c r="E8" s="24">
        <v>86</v>
      </c>
      <c r="F8" s="24">
        <v>137</v>
      </c>
      <c r="G8" s="44">
        <f>'Income Statement'!G6*15/365</f>
        <v>176.5750684931507</v>
      </c>
      <c r="H8" s="44">
        <f>'Income Statement'!H6*15/365</f>
        <v>202.00187835616441</v>
      </c>
      <c r="I8" s="44">
        <f>'Income Statement'!I6*15/365</f>
        <v>230.68614508273976</v>
      </c>
      <c r="J8" s="44">
        <f>'Income Statement'!J6*15/365</f>
        <v>258.36848249266853</v>
      </c>
      <c r="K8" s="44">
        <f>'Income Statement'!K6*15/365</f>
        <v>284.20533074193543</v>
      </c>
    </row>
    <row r="9" spans="1:11" ht="16.5" customHeight="1" x14ac:dyDescent="0.3">
      <c r="A9" s="26" t="s">
        <v>133</v>
      </c>
      <c r="B9" s="24">
        <v>15</v>
      </c>
      <c r="C9" s="24">
        <v>20</v>
      </c>
      <c r="D9" s="24">
        <v>28</v>
      </c>
      <c r="E9" s="24">
        <v>40</v>
      </c>
      <c r="F9" s="24">
        <v>40</v>
      </c>
      <c r="G9" s="44">
        <f>F9*1.05</f>
        <v>42</v>
      </c>
      <c r="H9" s="44">
        <f>G9*1.05</f>
        <v>44.1</v>
      </c>
      <c r="I9" s="44">
        <f>H9*1.05</f>
        <v>46.305000000000007</v>
      </c>
      <c r="J9" s="44">
        <f>I9*1.05</f>
        <v>48.620250000000006</v>
      </c>
      <c r="K9" s="44">
        <f>J9*1.05</f>
        <v>51.051262500000007</v>
      </c>
    </row>
    <row r="10" spans="1:11" ht="16.5" customHeight="1" x14ac:dyDescent="0.3">
      <c r="A10" s="23" t="s">
        <v>134</v>
      </c>
      <c r="B10" s="25">
        <f t="shared" ref="B10:K10" si="0">SUM(B6:B9)</f>
        <v>483</v>
      </c>
      <c r="C10" s="25">
        <f t="shared" si="0"/>
        <v>758</v>
      </c>
      <c r="D10" s="25">
        <f t="shared" si="0"/>
        <v>951</v>
      </c>
      <c r="E10" s="25">
        <f t="shared" si="0"/>
        <v>976</v>
      </c>
      <c r="F10" s="25">
        <f t="shared" si="0"/>
        <v>1027</v>
      </c>
      <c r="G10" s="25">
        <f t="shared" si="0"/>
        <v>1377.2703904931509</v>
      </c>
      <c r="H10" s="25">
        <f t="shared" si="0"/>
        <v>1676.6339853561644</v>
      </c>
      <c r="I10" s="25">
        <f t="shared" si="0"/>
        <v>2074.91664203034</v>
      </c>
      <c r="J10" s="25">
        <f t="shared" si="0"/>
        <v>2563.6830342364924</v>
      </c>
      <c r="K10" s="25">
        <f t="shared" si="0"/>
        <v>3121.0454200518079</v>
      </c>
    </row>
    <row r="12" spans="1:11" ht="16.5" customHeight="1" x14ac:dyDescent="0.3">
      <c r="A12" s="26" t="s">
        <v>135</v>
      </c>
      <c r="B12" s="24">
        <v>535</v>
      </c>
      <c r="C12" s="24">
        <v>285</v>
      </c>
      <c r="D12" s="24">
        <v>200</v>
      </c>
      <c r="E12" s="24">
        <v>850</v>
      </c>
      <c r="F12" s="24">
        <v>850</v>
      </c>
      <c r="G12" s="44">
        <f>MAX(F12-Assumptions!G31,0)</f>
        <v>765</v>
      </c>
      <c r="H12" s="44">
        <f>MAX(G12-Assumptions!H31,0)</f>
        <v>665</v>
      </c>
      <c r="I12" s="44">
        <f>MAX(H12-Assumptions!I31,0)</f>
        <v>545</v>
      </c>
      <c r="J12" s="44">
        <f>MAX(I12-Assumptions!J31,0)</f>
        <v>405</v>
      </c>
      <c r="K12" s="44">
        <f>MAX(J12-Assumptions!K31,0)</f>
        <v>245</v>
      </c>
    </row>
    <row r="13" spans="1:11" ht="16.5" customHeight="1" x14ac:dyDescent="0.3">
      <c r="A13" s="26" t="s">
        <v>136</v>
      </c>
      <c r="B13" s="24">
        <v>130</v>
      </c>
      <c r="C13" s="24">
        <v>155</v>
      </c>
      <c r="D13" s="24">
        <v>185</v>
      </c>
      <c r="E13" s="24">
        <v>220</v>
      </c>
      <c r="F13" s="24">
        <v>265</v>
      </c>
      <c r="G13" s="44">
        <f>F13+Assumptions!G35-Assumptions!G31/2</f>
        <v>342.5</v>
      </c>
      <c r="H13" s="44">
        <f>G13+Assumptions!H35-Assumptions!H31/2</f>
        <v>432.5</v>
      </c>
      <c r="I13" s="44">
        <f>H13+Assumptions!I35-Assumptions!I31/2</f>
        <v>532.5</v>
      </c>
      <c r="J13" s="44">
        <f>I13+Assumptions!J35-Assumptions!J31/2</f>
        <v>642.5</v>
      </c>
      <c r="K13" s="44">
        <f>J13+Assumptions!K35-Assumptions!K31/2</f>
        <v>762.5</v>
      </c>
    </row>
    <row r="14" spans="1:11" ht="16.5" customHeight="1" x14ac:dyDescent="0.3">
      <c r="A14" s="26" t="s">
        <v>137</v>
      </c>
      <c r="B14" s="24">
        <v>200</v>
      </c>
      <c r="C14" s="24">
        <v>230</v>
      </c>
      <c r="D14" s="24">
        <v>260</v>
      </c>
      <c r="E14" s="24">
        <v>280</v>
      </c>
      <c r="F14" s="24">
        <v>300</v>
      </c>
      <c r="G14" s="44">
        <f>F14</f>
        <v>300</v>
      </c>
      <c r="H14" s="44">
        <f>G14</f>
        <v>300</v>
      </c>
      <c r="I14" s="44">
        <f>H14</f>
        <v>300</v>
      </c>
      <c r="J14" s="44">
        <f>I14</f>
        <v>300</v>
      </c>
      <c r="K14" s="44">
        <f>J14</f>
        <v>300</v>
      </c>
    </row>
    <row r="15" spans="1:11" ht="16.5" customHeight="1" x14ac:dyDescent="0.3">
      <c r="A15" s="26" t="s">
        <v>138</v>
      </c>
      <c r="B15" s="24">
        <v>50</v>
      </c>
      <c r="C15" s="24">
        <v>60</v>
      </c>
      <c r="D15" s="24">
        <v>65</v>
      </c>
      <c r="E15" s="24">
        <v>71</v>
      </c>
      <c r="F15" s="24">
        <v>75</v>
      </c>
      <c r="G15" s="44">
        <f>F15*1.03</f>
        <v>77.25</v>
      </c>
      <c r="H15" s="44">
        <f>G15*1.03</f>
        <v>79.567499999999995</v>
      </c>
      <c r="I15" s="44">
        <f>H15*1.03</f>
        <v>81.954525000000004</v>
      </c>
      <c r="J15" s="44">
        <f>I15*1.03</f>
        <v>84.413160750000003</v>
      </c>
      <c r="K15" s="44">
        <f>J15*1.03</f>
        <v>86.945555572499998</v>
      </c>
    </row>
    <row r="16" spans="1:11" ht="16.5" customHeight="1" x14ac:dyDescent="0.3">
      <c r="A16" s="23" t="s">
        <v>139</v>
      </c>
      <c r="B16" s="25">
        <f t="shared" ref="B16:K16" si="1">SUM(B12:B15)</f>
        <v>915</v>
      </c>
      <c r="C16" s="25">
        <f t="shared" si="1"/>
        <v>730</v>
      </c>
      <c r="D16" s="25">
        <f t="shared" si="1"/>
        <v>710</v>
      </c>
      <c r="E16" s="25">
        <f t="shared" si="1"/>
        <v>1421</v>
      </c>
      <c r="F16" s="25">
        <f t="shared" si="1"/>
        <v>1490</v>
      </c>
      <c r="G16" s="25">
        <f t="shared" si="1"/>
        <v>1484.75</v>
      </c>
      <c r="H16" s="25">
        <f t="shared" si="1"/>
        <v>1477.0675000000001</v>
      </c>
      <c r="I16" s="25">
        <f t="shared" si="1"/>
        <v>1459.4545250000001</v>
      </c>
      <c r="J16" s="25">
        <f t="shared" si="1"/>
        <v>1431.9131607500001</v>
      </c>
      <c r="K16" s="25">
        <f t="shared" si="1"/>
        <v>1394.4455555725001</v>
      </c>
    </row>
    <row r="17" spans="1:11" ht="16.5" customHeight="1" x14ac:dyDescent="0.3">
      <c r="A17" s="54" t="s">
        <v>140</v>
      </c>
      <c r="B17" s="55">
        <f t="shared" ref="B17:K17" si="2">B10+B16</f>
        <v>1398</v>
      </c>
      <c r="C17" s="55">
        <f t="shared" si="2"/>
        <v>1488</v>
      </c>
      <c r="D17" s="55">
        <f t="shared" si="2"/>
        <v>1661</v>
      </c>
      <c r="E17" s="55">
        <f t="shared" si="2"/>
        <v>2397</v>
      </c>
      <c r="F17" s="55">
        <f t="shared" si="2"/>
        <v>2517</v>
      </c>
      <c r="G17" s="55">
        <f t="shared" si="2"/>
        <v>2862.0203904931509</v>
      </c>
      <c r="H17" s="55">
        <f t="shared" si="2"/>
        <v>3153.7014853561645</v>
      </c>
      <c r="I17" s="55">
        <f t="shared" si="2"/>
        <v>3534.3711670303401</v>
      </c>
      <c r="J17" s="55">
        <f t="shared" si="2"/>
        <v>3995.5961949864923</v>
      </c>
      <c r="K17" s="55">
        <f t="shared" si="2"/>
        <v>4515.4909756243078</v>
      </c>
    </row>
    <row r="18" spans="1:11" ht="18" customHeight="1" x14ac:dyDescent="0.3">
      <c r="A18" s="143" t="s">
        <v>141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</row>
    <row r="20" spans="1:11" ht="16.5" customHeight="1" x14ac:dyDescent="0.3">
      <c r="A20" s="26" t="s">
        <v>142</v>
      </c>
      <c r="B20" s="24">
        <v>90</v>
      </c>
      <c r="C20" s="24">
        <v>130</v>
      </c>
      <c r="D20" s="24">
        <v>170</v>
      </c>
      <c r="E20" s="24">
        <v>703</v>
      </c>
      <c r="F20" s="24">
        <v>863</v>
      </c>
      <c r="G20" s="44">
        <f>ABS('Income Statement'!G11)*30/365</f>
        <v>212.94953260273977</v>
      </c>
      <c r="H20" s="44">
        <f>ABS('Income Statement'!H11)*30/365</f>
        <v>239.574227730411</v>
      </c>
      <c r="I20" s="44">
        <f>ABS('Income Statement'!I11)*30/365</f>
        <v>268.9800451664745</v>
      </c>
      <c r="J20" s="44">
        <f>ABS('Income Statement'!J11)*30/365</f>
        <v>296.09028093659816</v>
      </c>
      <c r="K20" s="44">
        <f>ABS('Income Statement'!K11)*30/365</f>
        <v>320.01520241541931</v>
      </c>
    </row>
    <row r="21" spans="1:11" ht="16.5" customHeight="1" x14ac:dyDescent="0.3">
      <c r="A21" s="26" t="s">
        <v>143</v>
      </c>
      <c r="B21" s="24">
        <v>80</v>
      </c>
      <c r="C21" s="24">
        <v>110</v>
      </c>
      <c r="D21" s="24">
        <v>140</v>
      </c>
      <c r="E21" s="24">
        <v>250</v>
      </c>
      <c r="F21" s="24">
        <v>250</v>
      </c>
      <c r="G21" s="44">
        <f t="shared" ref="G21:K23" si="3">F21*1.05</f>
        <v>262.5</v>
      </c>
      <c r="H21" s="44">
        <f t="shared" si="3"/>
        <v>275.625</v>
      </c>
      <c r="I21" s="44">
        <f t="shared" si="3"/>
        <v>289.40625</v>
      </c>
      <c r="J21" s="44">
        <f t="shared" si="3"/>
        <v>303.87656250000003</v>
      </c>
      <c r="K21" s="44">
        <f t="shared" si="3"/>
        <v>319.07039062500007</v>
      </c>
    </row>
    <row r="22" spans="1:11" ht="16.5" customHeight="1" x14ac:dyDescent="0.3">
      <c r="A22" s="26" t="s">
        <v>144</v>
      </c>
      <c r="B22" s="24">
        <v>50</v>
      </c>
      <c r="C22" s="24">
        <v>80</v>
      </c>
      <c r="D22" s="24">
        <v>100</v>
      </c>
      <c r="E22" s="24">
        <v>150</v>
      </c>
      <c r="F22" s="24">
        <v>160</v>
      </c>
      <c r="G22" s="44">
        <f t="shared" si="3"/>
        <v>168</v>
      </c>
      <c r="H22" s="44">
        <f t="shared" si="3"/>
        <v>176.4</v>
      </c>
      <c r="I22" s="44">
        <f t="shared" si="3"/>
        <v>185.22000000000003</v>
      </c>
      <c r="J22" s="44">
        <f t="shared" si="3"/>
        <v>194.48100000000002</v>
      </c>
      <c r="K22" s="44">
        <f t="shared" si="3"/>
        <v>204.20505000000003</v>
      </c>
    </row>
    <row r="23" spans="1:11" ht="16.5" customHeight="1" x14ac:dyDescent="0.3">
      <c r="A23" s="26" t="s">
        <v>145</v>
      </c>
      <c r="B23" s="24">
        <v>150</v>
      </c>
      <c r="C23" s="24">
        <v>220</v>
      </c>
      <c r="D23" s="24">
        <v>280</v>
      </c>
      <c r="E23" s="24">
        <v>450</v>
      </c>
      <c r="F23" s="24">
        <v>600</v>
      </c>
      <c r="G23" s="44">
        <f t="shared" si="3"/>
        <v>630</v>
      </c>
      <c r="H23" s="44">
        <f t="shared" si="3"/>
        <v>661.5</v>
      </c>
      <c r="I23" s="44">
        <f t="shared" si="3"/>
        <v>694.57500000000005</v>
      </c>
      <c r="J23" s="44">
        <f t="shared" si="3"/>
        <v>729.30375000000004</v>
      </c>
      <c r="K23" s="44">
        <f t="shared" si="3"/>
        <v>765.76893750000011</v>
      </c>
    </row>
    <row r="24" spans="1:11" ht="16.5" customHeight="1" x14ac:dyDescent="0.3">
      <c r="A24" s="23" t="s">
        <v>146</v>
      </c>
      <c r="B24" s="25">
        <f t="shared" ref="B24:K24" si="4">SUM(B20:B23)</f>
        <v>370</v>
      </c>
      <c r="C24" s="25">
        <f t="shared" si="4"/>
        <v>540</v>
      </c>
      <c r="D24" s="25">
        <f t="shared" si="4"/>
        <v>690</v>
      </c>
      <c r="E24" s="25">
        <f t="shared" si="4"/>
        <v>1553</v>
      </c>
      <c r="F24" s="25">
        <f t="shared" si="4"/>
        <v>1873</v>
      </c>
      <c r="G24" s="25">
        <f t="shared" si="4"/>
        <v>1273.4495326027397</v>
      </c>
      <c r="H24" s="25">
        <f t="shared" si="4"/>
        <v>1353.0992277304108</v>
      </c>
      <c r="I24" s="25">
        <f t="shared" si="4"/>
        <v>1438.1812951664747</v>
      </c>
      <c r="J24" s="25">
        <f t="shared" si="4"/>
        <v>1523.7515934365983</v>
      </c>
      <c r="K24" s="25">
        <f t="shared" si="4"/>
        <v>1609.0595805404196</v>
      </c>
    </row>
    <row r="26" spans="1:11" ht="16.5" customHeight="1" x14ac:dyDescent="0.3">
      <c r="A26" s="26" t="s">
        <v>147</v>
      </c>
      <c r="B26" s="24">
        <v>0</v>
      </c>
      <c r="C26" s="24">
        <v>0</v>
      </c>
      <c r="D26" s="24">
        <v>0</v>
      </c>
      <c r="E26" s="24">
        <v>0</v>
      </c>
      <c r="F26" s="24">
        <v>0</v>
      </c>
      <c r="G26" s="44">
        <f>0</f>
        <v>0</v>
      </c>
      <c r="H26" s="44">
        <f>0</f>
        <v>0</v>
      </c>
      <c r="I26" s="44">
        <f>0</f>
        <v>0</v>
      </c>
      <c r="J26" s="44">
        <f>0</f>
        <v>0</v>
      </c>
      <c r="K26" s="44">
        <f>0</f>
        <v>0</v>
      </c>
    </row>
    <row r="27" spans="1:11" ht="16.5" customHeight="1" x14ac:dyDescent="0.3">
      <c r="A27" s="26" t="s">
        <v>148</v>
      </c>
      <c r="B27" s="24">
        <v>100</v>
      </c>
      <c r="C27" s="24">
        <v>150</v>
      </c>
      <c r="D27" s="24">
        <v>180</v>
      </c>
      <c r="E27" s="24">
        <v>200</v>
      </c>
      <c r="F27" s="24">
        <v>200</v>
      </c>
      <c r="G27" s="44">
        <f>F27*0.98</f>
        <v>196</v>
      </c>
      <c r="H27" s="44">
        <f>G27*0.98</f>
        <v>192.07999999999998</v>
      </c>
      <c r="I27" s="44">
        <f>H27*0.98</f>
        <v>188.23839999999998</v>
      </c>
      <c r="J27" s="44">
        <f>I27*0.98</f>
        <v>184.47363199999998</v>
      </c>
      <c r="K27" s="44">
        <f>J27*0.98</f>
        <v>180.78415935999999</v>
      </c>
    </row>
    <row r="28" spans="1:11" ht="16.5" customHeight="1" x14ac:dyDescent="0.3">
      <c r="A28" s="26" t="s">
        <v>149</v>
      </c>
      <c r="B28" s="24">
        <v>20</v>
      </c>
      <c r="C28" s="24">
        <v>30</v>
      </c>
      <c r="D28" s="24">
        <v>40</v>
      </c>
      <c r="E28" s="24">
        <v>50</v>
      </c>
      <c r="F28" s="24">
        <v>50</v>
      </c>
      <c r="G28" s="44">
        <f>F28*1.05</f>
        <v>52.5</v>
      </c>
      <c r="H28" s="44">
        <f>G28*1.05</f>
        <v>55.125</v>
      </c>
      <c r="I28" s="44">
        <f>H28*1.05</f>
        <v>57.881250000000001</v>
      </c>
      <c r="J28" s="44">
        <f>I28*1.05</f>
        <v>60.775312500000005</v>
      </c>
      <c r="K28" s="44">
        <f>J28*1.05</f>
        <v>63.814078125000009</v>
      </c>
    </row>
    <row r="29" spans="1:11" ht="16.5" customHeight="1" x14ac:dyDescent="0.3">
      <c r="A29" s="23" t="s">
        <v>150</v>
      </c>
      <c r="B29" s="25">
        <f t="shared" ref="B29:K29" si="5">SUM(B26:B28)</f>
        <v>120</v>
      </c>
      <c r="C29" s="25">
        <f t="shared" si="5"/>
        <v>180</v>
      </c>
      <c r="D29" s="25">
        <f t="shared" si="5"/>
        <v>220</v>
      </c>
      <c r="E29" s="25">
        <f t="shared" si="5"/>
        <v>250</v>
      </c>
      <c r="F29" s="25">
        <f t="shared" si="5"/>
        <v>250</v>
      </c>
      <c r="G29" s="25">
        <f t="shared" si="5"/>
        <v>248.5</v>
      </c>
      <c r="H29" s="25">
        <f t="shared" si="5"/>
        <v>247.20499999999998</v>
      </c>
      <c r="I29" s="25">
        <f t="shared" si="5"/>
        <v>246.11964999999998</v>
      </c>
      <c r="J29" s="25">
        <f t="shared" si="5"/>
        <v>245.24894449999999</v>
      </c>
      <c r="K29" s="25">
        <f t="shared" si="5"/>
        <v>244.598237485</v>
      </c>
    </row>
    <row r="31" spans="1:11" ht="16.5" customHeight="1" x14ac:dyDescent="0.3">
      <c r="A31" s="26" t="s">
        <v>151</v>
      </c>
      <c r="B31" s="24">
        <v>600</v>
      </c>
      <c r="C31" s="24">
        <v>600</v>
      </c>
      <c r="D31" s="24">
        <v>600</v>
      </c>
      <c r="E31" s="24">
        <v>65</v>
      </c>
      <c r="F31" s="24">
        <v>65</v>
      </c>
      <c r="G31" s="44">
        <f>F31</f>
        <v>65</v>
      </c>
      <c r="H31" s="44">
        <f>G31</f>
        <v>65</v>
      </c>
      <c r="I31" s="44">
        <f>H31</f>
        <v>65</v>
      </c>
      <c r="J31" s="44">
        <f>I31</f>
        <v>65</v>
      </c>
      <c r="K31" s="44">
        <f>J31</f>
        <v>65</v>
      </c>
    </row>
    <row r="32" spans="1:11" ht="16.5" customHeight="1" x14ac:dyDescent="0.3">
      <c r="A32" s="52" t="s">
        <v>152</v>
      </c>
      <c r="B32" s="24">
        <v>12</v>
      </c>
      <c r="C32" s="24">
        <v>32</v>
      </c>
      <c r="D32" s="24">
        <v>67</v>
      </c>
      <c r="E32" s="24">
        <v>119</v>
      </c>
      <c r="F32" s="24">
        <v>218</v>
      </c>
      <c r="G32" s="56">
        <f>F32+'Income Statement'!G28</f>
        <v>572.47445000000005</v>
      </c>
      <c r="H32" s="56">
        <f>G32+'Income Statement'!H28</f>
        <v>1033.2912350000001</v>
      </c>
      <c r="I32" s="56">
        <f>H32+'Income Statement'!I28</f>
        <v>1601.6442249476002</v>
      </c>
      <c r="J32" s="56">
        <f>I32+'Income Statement'!J28</f>
        <v>2285.3518217438241</v>
      </c>
      <c r="K32" s="56">
        <f>J32+'Income Statement'!K28</f>
        <v>3063.3639146498722</v>
      </c>
    </row>
    <row r="33" spans="1:11" ht="16.5" customHeight="1" x14ac:dyDescent="0.3">
      <c r="A33" s="26" t="s">
        <v>153</v>
      </c>
      <c r="B33" s="24">
        <v>-30</v>
      </c>
      <c r="C33" s="24">
        <v>-85</v>
      </c>
      <c r="D33" s="24">
        <v>-153</v>
      </c>
      <c r="E33" s="24">
        <v>-165</v>
      </c>
      <c r="F33" s="24">
        <v>-165</v>
      </c>
      <c r="G33" s="44">
        <f>F33+Assumptions!G38</f>
        <v>-125</v>
      </c>
      <c r="H33" s="44">
        <f>G33+Assumptions!H38</f>
        <v>-95</v>
      </c>
      <c r="I33" s="44">
        <f>H33+Assumptions!I38</f>
        <v>-75</v>
      </c>
      <c r="J33" s="44">
        <f>I33+Assumptions!J38</f>
        <v>-65</v>
      </c>
      <c r="K33" s="44">
        <f>J33+Assumptions!K38</f>
        <v>-65</v>
      </c>
    </row>
    <row r="34" spans="1:11" ht="16.5" customHeight="1" x14ac:dyDescent="0.3">
      <c r="A34" s="26" t="s">
        <v>154</v>
      </c>
      <c r="B34" s="24">
        <f t="shared" ref="B34:K34" si="6">B17-B24-B29-B31-B32-B33</f>
        <v>326</v>
      </c>
      <c r="C34" s="24">
        <f t="shared" si="6"/>
        <v>221</v>
      </c>
      <c r="D34" s="24">
        <f t="shared" si="6"/>
        <v>237</v>
      </c>
      <c r="E34" s="24">
        <f t="shared" si="6"/>
        <v>575</v>
      </c>
      <c r="F34" s="24">
        <f t="shared" si="6"/>
        <v>276</v>
      </c>
      <c r="G34" s="44">
        <f t="shared" si="6"/>
        <v>827.59640789041111</v>
      </c>
      <c r="H34" s="44">
        <f t="shared" si="6"/>
        <v>550.10602262575367</v>
      </c>
      <c r="I34" s="44">
        <f t="shared" si="6"/>
        <v>258.42599691626515</v>
      </c>
      <c r="J34" s="44">
        <f t="shared" si="6"/>
        <v>-58.756164693930259</v>
      </c>
      <c r="K34" s="44">
        <f t="shared" si="6"/>
        <v>-401.53075705098399</v>
      </c>
    </row>
    <row r="35" spans="1:11" ht="16.5" customHeight="1" x14ac:dyDescent="0.3">
      <c r="A35" s="23" t="s">
        <v>155</v>
      </c>
      <c r="B35" s="25">
        <f t="shared" ref="B35:K35" si="7">SUM(B31:B34)</f>
        <v>908</v>
      </c>
      <c r="C35" s="25">
        <f t="shared" si="7"/>
        <v>768</v>
      </c>
      <c r="D35" s="25">
        <f t="shared" si="7"/>
        <v>751</v>
      </c>
      <c r="E35" s="25">
        <f t="shared" si="7"/>
        <v>594</v>
      </c>
      <c r="F35" s="25">
        <f t="shared" si="7"/>
        <v>394</v>
      </c>
      <c r="G35" s="25">
        <f t="shared" si="7"/>
        <v>1340.0708578904112</v>
      </c>
      <c r="H35" s="25">
        <f t="shared" si="7"/>
        <v>1553.3972576257538</v>
      </c>
      <c r="I35" s="25">
        <f t="shared" si="7"/>
        <v>1850.0702218638653</v>
      </c>
      <c r="J35" s="25">
        <f t="shared" si="7"/>
        <v>2226.5956570498938</v>
      </c>
      <c r="K35" s="25">
        <f t="shared" si="7"/>
        <v>2661.8331575988882</v>
      </c>
    </row>
    <row r="36" spans="1:11" ht="16.5" customHeight="1" x14ac:dyDescent="0.3">
      <c r="A36" s="54" t="s">
        <v>156</v>
      </c>
      <c r="B36" s="55">
        <f t="shared" ref="B36:K36" si="8">B17-B24-B29-B35</f>
        <v>0</v>
      </c>
      <c r="C36" s="55">
        <f t="shared" si="8"/>
        <v>0</v>
      </c>
      <c r="D36" s="55">
        <f t="shared" si="8"/>
        <v>0</v>
      </c>
      <c r="E36" s="55">
        <f t="shared" si="8"/>
        <v>0</v>
      </c>
      <c r="F36" s="55">
        <f t="shared" si="8"/>
        <v>0</v>
      </c>
      <c r="G36" s="55">
        <f t="shared" si="8"/>
        <v>0</v>
      </c>
      <c r="H36" s="55">
        <f t="shared" si="8"/>
        <v>0</v>
      </c>
      <c r="I36" s="55">
        <f t="shared" si="8"/>
        <v>0</v>
      </c>
      <c r="J36" s="55">
        <f t="shared" si="8"/>
        <v>0</v>
      </c>
      <c r="K36" s="55">
        <f t="shared" si="8"/>
        <v>0</v>
      </c>
    </row>
  </sheetData>
  <mergeCells count="3">
    <mergeCell ref="A1:K1"/>
    <mergeCell ref="A5:K5"/>
    <mergeCell ref="A18:K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showGridLines="0" zoomScaleNormal="100" workbookViewId="0">
      <selection sqref="A1:K1"/>
    </sheetView>
  </sheetViews>
  <sheetFormatPr defaultColWidth="8.6640625" defaultRowHeight="14.4" x14ac:dyDescent="0.3"/>
  <cols>
    <col min="1" max="1" width="36" customWidth="1"/>
    <col min="2" max="11" width="13" customWidth="1"/>
  </cols>
  <sheetData>
    <row r="1" spans="1:11" ht="30" customHeight="1" x14ac:dyDescent="0.3">
      <c r="A1" s="142" t="s">
        <v>157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</row>
    <row r="4" spans="1:11" ht="19.5" customHeight="1" x14ac:dyDescent="0.3">
      <c r="A4" s="18" t="s">
        <v>37</v>
      </c>
      <c r="B4" s="19" t="s">
        <v>38</v>
      </c>
      <c r="C4" s="19" t="s">
        <v>39</v>
      </c>
      <c r="D4" s="19" t="s">
        <v>40</v>
      </c>
      <c r="E4" s="19" t="s">
        <v>41</v>
      </c>
      <c r="F4" s="20" t="s">
        <v>42</v>
      </c>
      <c r="G4" s="21" t="s">
        <v>43</v>
      </c>
      <c r="H4" s="21" t="s">
        <v>44</v>
      </c>
      <c r="I4" s="21" t="s">
        <v>45</v>
      </c>
      <c r="J4" s="21" t="s">
        <v>46</v>
      </c>
      <c r="K4" s="21" t="s">
        <v>47</v>
      </c>
    </row>
    <row r="5" spans="1:11" ht="18" customHeight="1" x14ac:dyDescent="0.3">
      <c r="A5" s="143" t="s">
        <v>158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</row>
    <row r="6" spans="1:11" ht="16.5" customHeight="1" x14ac:dyDescent="0.3">
      <c r="A6" s="26" t="s">
        <v>159</v>
      </c>
      <c r="B6" s="47">
        <f>'Income Statement'!B28</f>
        <v>10.138400000000001</v>
      </c>
      <c r="C6" s="47">
        <f>'Income Statement'!C28</f>
        <v>18.362651999999997</v>
      </c>
      <c r="D6" s="47">
        <f>'Income Statement'!D28</f>
        <v>32.314895999999997</v>
      </c>
      <c r="E6" s="47">
        <f>'Income Statement'!E28</f>
        <v>49.406560000000013</v>
      </c>
      <c r="F6" s="47">
        <f>'Income Statement'!F28</f>
        <v>81.998363999999981</v>
      </c>
      <c r="G6" s="47">
        <f>'Income Statement'!G28</f>
        <v>354.47445000000005</v>
      </c>
      <c r="H6" s="47">
        <f>'Income Statement'!H28</f>
        <v>460.8167850000001</v>
      </c>
      <c r="I6" s="47">
        <f>'Income Statement'!I28</f>
        <v>568.35298994760001</v>
      </c>
      <c r="J6" s="47">
        <f>'Income Statement'!J28</f>
        <v>683.70759679622404</v>
      </c>
      <c r="K6" s="47">
        <f>'Income Statement'!K28</f>
        <v>778.01209290604811</v>
      </c>
    </row>
    <row r="7" spans="1:11" ht="16.5" customHeight="1" x14ac:dyDescent="0.3">
      <c r="A7" s="26" t="s">
        <v>160</v>
      </c>
      <c r="B7" s="47">
        <f>Assumptions!B31</f>
        <v>25</v>
      </c>
      <c r="C7" s="47">
        <f>Assumptions!C31</f>
        <v>35</v>
      </c>
      <c r="D7" s="47">
        <f>Assumptions!D31</f>
        <v>45</v>
      </c>
      <c r="E7" s="47">
        <f>Assumptions!E31</f>
        <v>55</v>
      </c>
      <c r="F7" s="47">
        <f>Assumptions!F31</f>
        <v>70</v>
      </c>
      <c r="G7" s="47">
        <f>Assumptions!G31</f>
        <v>85</v>
      </c>
      <c r="H7" s="47">
        <f>Assumptions!H31</f>
        <v>100</v>
      </c>
      <c r="I7" s="47">
        <f>Assumptions!I31</f>
        <v>120</v>
      </c>
      <c r="J7" s="47">
        <f>Assumptions!J31</f>
        <v>140</v>
      </c>
      <c r="K7" s="47">
        <f>Assumptions!K31</f>
        <v>160</v>
      </c>
    </row>
    <row r="8" spans="1:11" ht="16.5" customHeight="1" x14ac:dyDescent="0.3">
      <c r="A8" s="26" t="s">
        <v>161</v>
      </c>
      <c r="B8" s="47">
        <f>Assumptions!B32</f>
        <v>500</v>
      </c>
      <c r="C8" s="47">
        <f>Assumptions!C32</f>
        <v>800</v>
      </c>
      <c r="D8" s="47">
        <f>Assumptions!D32</f>
        <v>1000</v>
      </c>
      <c r="E8" s="47">
        <f>Assumptions!E32</f>
        <v>1200</v>
      </c>
      <c r="F8" s="47">
        <f>Assumptions!F32</f>
        <v>1400</v>
      </c>
      <c r="G8" s="47">
        <f>Assumptions!G32</f>
        <v>1600</v>
      </c>
      <c r="H8" s="47">
        <f>Assumptions!H32</f>
        <v>1800</v>
      </c>
      <c r="I8" s="47">
        <f>Assumptions!I32</f>
        <v>2000</v>
      </c>
      <c r="J8" s="47">
        <f>Assumptions!J32</f>
        <v>2200</v>
      </c>
      <c r="K8" s="47">
        <f>Assumptions!K32</f>
        <v>2400</v>
      </c>
    </row>
    <row r="9" spans="1:11" ht="16.5" customHeight="1" x14ac:dyDescent="0.3">
      <c r="A9" s="26" t="s">
        <v>162</v>
      </c>
      <c r="B9" s="47">
        <f>Assumptions!B33</f>
        <v>10</v>
      </c>
      <c r="C9" s="47">
        <f>Assumptions!C33</f>
        <v>15</v>
      </c>
      <c r="D9" s="47">
        <f>Assumptions!D33</f>
        <v>20</v>
      </c>
      <c r="E9" s="47">
        <f>Assumptions!E33</f>
        <v>25</v>
      </c>
      <c r="F9" s="47">
        <f>Assumptions!F33</f>
        <v>30</v>
      </c>
      <c r="G9" s="47">
        <f>Assumptions!G33</f>
        <v>35</v>
      </c>
      <c r="H9" s="47">
        <f>Assumptions!H33</f>
        <v>40</v>
      </c>
      <c r="I9" s="47">
        <f>Assumptions!I33</f>
        <v>45</v>
      </c>
      <c r="J9" s="47">
        <f>Assumptions!J33</f>
        <v>50</v>
      </c>
      <c r="K9" s="47">
        <f>Assumptions!K33</f>
        <v>55</v>
      </c>
    </row>
    <row r="10" spans="1:11" ht="16.5" customHeight="1" x14ac:dyDescent="0.3">
      <c r="A10" s="26" t="s">
        <v>163</v>
      </c>
      <c r="B10" s="47">
        <f>Assumptions!B36</f>
        <v>-15</v>
      </c>
      <c r="C10" s="47">
        <f>Assumptions!C36</f>
        <v>-28</v>
      </c>
      <c r="D10" s="47">
        <f>Assumptions!D36</f>
        <v>-35</v>
      </c>
      <c r="E10" s="47">
        <f>Assumptions!E36</f>
        <v>-45</v>
      </c>
      <c r="F10" s="47">
        <f>Assumptions!F36</f>
        <v>-60</v>
      </c>
      <c r="G10" s="47">
        <f>Assumptions!G36</f>
        <v>-65</v>
      </c>
      <c r="H10" s="47">
        <f>Assumptions!H36</f>
        <v>-67</v>
      </c>
      <c r="I10" s="47">
        <f>Assumptions!I36</f>
        <v>-65</v>
      </c>
      <c r="J10" s="47">
        <f>Assumptions!J36</f>
        <v>-70</v>
      </c>
      <c r="K10" s="47">
        <f>Assumptions!K36</f>
        <v>-75</v>
      </c>
    </row>
    <row r="11" spans="1:11" ht="16.5" customHeight="1" x14ac:dyDescent="0.3">
      <c r="A11" s="23" t="s">
        <v>164</v>
      </c>
      <c r="B11" s="25">
        <f t="shared" ref="B11:K11" si="0">SUM(B6:B10)</f>
        <v>530.13840000000005</v>
      </c>
      <c r="C11" s="25">
        <f t="shared" si="0"/>
        <v>840.36265200000003</v>
      </c>
      <c r="D11" s="25">
        <f t="shared" si="0"/>
        <v>1062.3148960000001</v>
      </c>
      <c r="E11" s="25">
        <f t="shared" si="0"/>
        <v>1284.4065599999999</v>
      </c>
      <c r="F11" s="25">
        <f t="shared" si="0"/>
        <v>1521.998364</v>
      </c>
      <c r="G11" s="25">
        <f t="shared" si="0"/>
        <v>2009.4744500000002</v>
      </c>
      <c r="H11" s="25">
        <f t="shared" si="0"/>
        <v>2333.816785</v>
      </c>
      <c r="I11" s="25">
        <f t="shared" si="0"/>
        <v>2668.3529899475998</v>
      </c>
      <c r="J11" s="25">
        <f t="shared" si="0"/>
        <v>3003.7075967962242</v>
      </c>
      <c r="K11" s="25">
        <f t="shared" si="0"/>
        <v>3318.0120929060481</v>
      </c>
    </row>
    <row r="12" spans="1:11" ht="18" customHeight="1" x14ac:dyDescent="0.3">
      <c r="A12" s="143" t="s">
        <v>165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</row>
    <row r="13" spans="1:11" ht="16.5" customHeight="1" x14ac:dyDescent="0.3">
      <c r="A13" s="26" t="s">
        <v>166</v>
      </c>
      <c r="B13" s="47">
        <f>-Assumptions!B34</f>
        <v>-500</v>
      </c>
      <c r="C13" s="47">
        <f>-Assumptions!C34</f>
        <v>-800</v>
      </c>
      <c r="D13" s="47">
        <f>-Assumptions!D34</f>
        <v>-1000</v>
      </c>
      <c r="E13" s="47">
        <f>-Assumptions!E34</f>
        <v>-1200</v>
      </c>
      <c r="F13" s="47">
        <f>-Assumptions!F34</f>
        <v>-1400</v>
      </c>
      <c r="G13" s="47">
        <f>-Assumptions!G34</f>
        <v>-1600</v>
      </c>
      <c r="H13" s="47">
        <f>-Assumptions!H34</f>
        <v>-1800</v>
      </c>
      <c r="I13" s="47">
        <f>-Assumptions!I34</f>
        <v>-2000</v>
      </c>
      <c r="J13" s="47">
        <f>-Assumptions!J34</f>
        <v>-2200</v>
      </c>
      <c r="K13" s="47">
        <f>-Assumptions!K34</f>
        <v>-2400</v>
      </c>
    </row>
    <row r="14" spans="1:11" ht="16.5" customHeight="1" x14ac:dyDescent="0.3">
      <c r="A14" s="26" t="s">
        <v>167</v>
      </c>
      <c r="B14" s="47">
        <f>-Assumptions!B35</f>
        <v>-50</v>
      </c>
      <c r="C14" s="47">
        <f>-Assumptions!C35</f>
        <v>-60</v>
      </c>
      <c r="D14" s="47">
        <f>-Assumptions!D35</f>
        <v>-70</v>
      </c>
      <c r="E14" s="47">
        <f>-Assumptions!E35</f>
        <v>-80</v>
      </c>
      <c r="F14" s="47">
        <f>-Assumptions!F35</f>
        <v>-100</v>
      </c>
      <c r="G14" s="47">
        <f>-Assumptions!G35</f>
        <v>-120</v>
      </c>
      <c r="H14" s="47">
        <f>-Assumptions!H35</f>
        <v>-140</v>
      </c>
      <c r="I14" s="47">
        <f>-Assumptions!I35</f>
        <v>-160</v>
      </c>
      <c r="J14" s="47">
        <f>-Assumptions!J35</f>
        <v>-180</v>
      </c>
      <c r="K14" s="47">
        <f>-Assumptions!K35</f>
        <v>-200</v>
      </c>
    </row>
    <row r="15" spans="1:11" ht="16.5" customHeight="1" x14ac:dyDescent="0.3">
      <c r="A15" s="26" t="s">
        <v>168</v>
      </c>
      <c r="B15" s="44">
        <f>-Assumptions!B35/5</f>
        <v>-10</v>
      </c>
      <c r="C15" s="44">
        <f>-Assumptions!C35/5</f>
        <v>-12</v>
      </c>
      <c r="D15" s="44">
        <f>-Assumptions!D35/5</f>
        <v>-14</v>
      </c>
      <c r="E15" s="44">
        <f>-Assumptions!E35/5</f>
        <v>-16</v>
      </c>
      <c r="F15" s="44">
        <f>-Assumptions!F35/5</f>
        <v>-20</v>
      </c>
      <c r="G15" s="44">
        <f>-Assumptions!G35/5</f>
        <v>-24</v>
      </c>
      <c r="H15" s="44">
        <f>-Assumptions!H35/5</f>
        <v>-28</v>
      </c>
      <c r="I15" s="44">
        <f>-Assumptions!I35/5</f>
        <v>-32</v>
      </c>
      <c r="J15" s="44">
        <f>-Assumptions!J35/5</f>
        <v>-36</v>
      </c>
      <c r="K15" s="44">
        <f>-Assumptions!K35/5</f>
        <v>-40</v>
      </c>
    </row>
    <row r="16" spans="1:11" ht="16.5" customHeight="1" x14ac:dyDescent="0.3">
      <c r="A16" s="23" t="s">
        <v>169</v>
      </c>
      <c r="B16" s="25">
        <f t="shared" ref="B16:K16" si="1">SUM(B13:B15)</f>
        <v>-560</v>
      </c>
      <c r="C16" s="25">
        <f t="shared" si="1"/>
        <v>-872</v>
      </c>
      <c r="D16" s="25">
        <f t="shared" si="1"/>
        <v>-1084</v>
      </c>
      <c r="E16" s="25">
        <f t="shared" si="1"/>
        <v>-1296</v>
      </c>
      <c r="F16" s="25">
        <f t="shared" si="1"/>
        <v>-1520</v>
      </c>
      <c r="G16" s="25">
        <f t="shared" si="1"/>
        <v>-1744</v>
      </c>
      <c r="H16" s="25">
        <f t="shared" si="1"/>
        <v>-1968</v>
      </c>
      <c r="I16" s="25">
        <f t="shared" si="1"/>
        <v>-2192</v>
      </c>
      <c r="J16" s="25">
        <f t="shared" si="1"/>
        <v>-2416</v>
      </c>
      <c r="K16" s="25">
        <f t="shared" si="1"/>
        <v>-2640</v>
      </c>
    </row>
    <row r="17" spans="1:11" ht="18" customHeight="1" x14ac:dyDescent="0.3">
      <c r="A17" s="145" t="s">
        <v>170</v>
      </c>
      <c r="B17" s="145"/>
      <c r="C17" s="145"/>
      <c r="D17" s="145"/>
      <c r="E17" s="145"/>
      <c r="F17" s="145"/>
      <c r="G17" s="145"/>
      <c r="H17" s="145"/>
      <c r="I17" s="145"/>
      <c r="J17" s="145"/>
      <c r="K17" s="145"/>
    </row>
    <row r="18" spans="1:11" ht="16.5" customHeight="1" x14ac:dyDescent="0.3">
      <c r="A18" s="39" t="s">
        <v>171</v>
      </c>
      <c r="B18" s="45">
        <f t="shared" ref="B18:K18" si="2">B11+B13+B14</f>
        <v>-19.861599999999953</v>
      </c>
      <c r="C18" s="45">
        <f t="shared" si="2"/>
        <v>-19.637347999999974</v>
      </c>
      <c r="D18" s="45">
        <f t="shared" si="2"/>
        <v>-7.6851039999999102</v>
      </c>
      <c r="E18" s="45">
        <f t="shared" si="2"/>
        <v>4.4065599999998994</v>
      </c>
      <c r="F18" s="45">
        <f t="shared" si="2"/>
        <v>21.998364000000038</v>
      </c>
      <c r="G18" s="45">
        <f t="shared" si="2"/>
        <v>289.47445000000016</v>
      </c>
      <c r="H18" s="45">
        <f t="shared" si="2"/>
        <v>393.81678499999998</v>
      </c>
      <c r="I18" s="45">
        <f t="shared" si="2"/>
        <v>508.35298994759978</v>
      </c>
      <c r="J18" s="45">
        <f t="shared" si="2"/>
        <v>623.70759679622415</v>
      </c>
      <c r="K18" s="45">
        <f t="shared" si="2"/>
        <v>718.01209290604811</v>
      </c>
    </row>
    <row r="19" spans="1:11" ht="16.5" customHeight="1" x14ac:dyDescent="0.3">
      <c r="A19" s="26" t="s">
        <v>172</v>
      </c>
      <c r="B19" s="43">
        <f>B18/'Income Statement'!B6</f>
        <v>-2.0906947368421004E-2</v>
      </c>
      <c r="C19" s="43">
        <f>C18/'Income Statement'!C6</f>
        <v>-1.068990092542187E-2</v>
      </c>
      <c r="D19" s="43">
        <f>D18/'Income Statement'!D6</f>
        <v>-3.3618127734032855E-3</v>
      </c>
      <c r="E19" s="43">
        <f>E18/'Income Statement'!E6</f>
        <v>1.5483345045677792E-3</v>
      </c>
      <c r="F19" s="43">
        <f>F18/'Income Statement'!F6</f>
        <v>5.8366579994693652E-3</v>
      </c>
      <c r="G19" s="43">
        <f>G18/'Income Statement'!G6</f>
        <v>6.7371970321133179E-2</v>
      </c>
      <c r="H19" s="43">
        <f>H18/'Income Statement'!H6</f>
        <v>8.0119311612640132E-2</v>
      </c>
      <c r="I19" s="43">
        <f>I18/'Income Statement'!I6</f>
        <v>9.0561220126491954E-2</v>
      </c>
      <c r="J19" s="43">
        <f>J18/'Income Statement'!J6</f>
        <v>9.9206446541510729E-2</v>
      </c>
      <c r="K19" s="43">
        <f>K18/'Income Statement'!K6</f>
        <v>0.10382404231046428</v>
      </c>
    </row>
    <row r="20" spans="1:11" ht="18" customHeight="1" x14ac:dyDescent="0.3">
      <c r="A20" s="143" t="s">
        <v>173</v>
      </c>
      <c r="B20" s="143"/>
      <c r="C20" s="143"/>
      <c r="D20" s="143"/>
      <c r="E20" s="143"/>
      <c r="F20" s="143"/>
      <c r="G20" s="143"/>
      <c r="H20" s="143"/>
      <c r="I20" s="143"/>
      <c r="J20" s="143"/>
      <c r="K20" s="143"/>
    </row>
    <row r="21" spans="1:11" ht="16.5" customHeight="1" x14ac:dyDescent="0.3">
      <c r="A21" s="26" t="s">
        <v>174</v>
      </c>
      <c r="B21" s="44">
        <f>0</f>
        <v>0</v>
      </c>
      <c r="C21" s="44">
        <f>0</f>
        <v>0</v>
      </c>
      <c r="D21" s="44">
        <f>0</f>
        <v>0</v>
      </c>
      <c r="E21" s="44">
        <f>0</f>
        <v>0</v>
      </c>
      <c r="F21" s="44">
        <f>0</f>
        <v>0</v>
      </c>
      <c r="G21" s="44">
        <f>0</f>
        <v>0</v>
      </c>
      <c r="H21" s="44">
        <f>0</f>
        <v>0</v>
      </c>
      <c r="I21" s="44">
        <f>0</f>
        <v>0</v>
      </c>
      <c r="J21" s="44">
        <f>0</f>
        <v>0</v>
      </c>
      <c r="K21" s="44">
        <f>0</f>
        <v>0</v>
      </c>
    </row>
    <row r="22" spans="1:11" ht="16.5" customHeight="1" x14ac:dyDescent="0.3">
      <c r="A22" s="26" t="s">
        <v>175</v>
      </c>
      <c r="B22" s="47">
        <f>Assumptions!B39</f>
        <v>-30</v>
      </c>
      <c r="C22" s="47">
        <f>Assumptions!C39</f>
        <v>-55</v>
      </c>
      <c r="D22" s="47">
        <f>Assumptions!D39</f>
        <v>-68</v>
      </c>
      <c r="E22" s="47">
        <f>Assumptions!E39</f>
        <v>-82</v>
      </c>
      <c r="F22" s="47">
        <f>Assumptions!F39</f>
        <v>-110</v>
      </c>
      <c r="G22" s="47">
        <f>Assumptions!G39</f>
        <v>-120</v>
      </c>
      <c r="H22" s="47">
        <f>Assumptions!H39</f>
        <v>-125</v>
      </c>
      <c r="I22" s="47">
        <f>Assumptions!I39</f>
        <v>-130</v>
      </c>
      <c r="J22" s="47">
        <f>Assumptions!J39</f>
        <v>-140</v>
      </c>
      <c r="K22" s="47">
        <f>Assumptions!K39</f>
        <v>-150</v>
      </c>
    </row>
    <row r="23" spans="1:11" ht="16.5" customHeight="1" x14ac:dyDescent="0.3">
      <c r="A23" s="26" t="s">
        <v>176</v>
      </c>
      <c r="B23" s="44">
        <f>0</f>
        <v>0</v>
      </c>
      <c r="C23" s="44">
        <f>0</f>
        <v>0</v>
      </c>
      <c r="D23" s="44">
        <f>0</f>
        <v>0</v>
      </c>
      <c r="E23" s="44">
        <f>0</f>
        <v>0</v>
      </c>
      <c r="F23" s="44">
        <f>0</f>
        <v>0</v>
      </c>
      <c r="G23" s="44">
        <f>0</f>
        <v>0</v>
      </c>
      <c r="H23" s="44">
        <f>0</f>
        <v>0</v>
      </c>
      <c r="I23" s="44">
        <f>0</f>
        <v>0</v>
      </c>
      <c r="J23" s="44">
        <f>0</f>
        <v>0</v>
      </c>
      <c r="K23" s="44">
        <f>0</f>
        <v>0</v>
      </c>
    </row>
    <row r="24" spans="1:11" ht="16.5" customHeight="1" x14ac:dyDescent="0.3">
      <c r="A24" s="26" t="s">
        <v>177</v>
      </c>
      <c r="B24" s="47">
        <f>Assumptions!B38</f>
        <v>450</v>
      </c>
      <c r="C24" s="47">
        <f>Assumptions!C38</f>
        <v>280</v>
      </c>
      <c r="D24" s="47">
        <f>Assumptions!D38</f>
        <v>180</v>
      </c>
      <c r="E24" s="47">
        <f>Assumptions!E38</f>
        <v>120</v>
      </c>
      <c r="F24" s="47">
        <f>Assumptions!F38</f>
        <v>80</v>
      </c>
      <c r="G24" s="47">
        <f>Assumptions!G38</f>
        <v>40</v>
      </c>
      <c r="H24" s="47">
        <f>Assumptions!H38</f>
        <v>30</v>
      </c>
      <c r="I24" s="47">
        <f>Assumptions!I38</f>
        <v>20</v>
      </c>
      <c r="J24" s="47">
        <f>Assumptions!J38</f>
        <v>10</v>
      </c>
      <c r="K24" s="47">
        <f>Assumptions!K38</f>
        <v>0</v>
      </c>
    </row>
    <row r="25" spans="1:11" ht="16.5" customHeight="1" x14ac:dyDescent="0.3">
      <c r="A25" s="23" t="s">
        <v>178</v>
      </c>
      <c r="B25" s="25">
        <f t="shared" ref="B25:K25" si="3">SUM(B21:B24)</f>
        <v>420</v>
      </c>
      <c r="C25" s="25">
        <f t="shared" si="3"/>
        <v>225</v>
      </c>
      <c r="D25" s="25">
        <f t="shared" si="3"/>
        <v>112</v>
      </c>
      <c r="E25" s="25">
        <f t="shared" si="3"/>
        <v>38</v>
      </c>
      <c r="F25" s="25">
        <f t="shared" si="3"/>
        <v>-30</v>
      </c>
      <c r="G25" s="25">
        <f t="shared" si="3"/>
        <v>-80</v>
      </c>
      <c r="H25" s="25">
        <f t="shared" si="3"/>
        <v>-95</v>
      </c>
      <c r="I25" s="25">
        <f t="shared" si="3"/>
        <v>-110</v>
      </c>
      <c r="J25" s="25">
        <f t="shared" si="3"/>
        <v>-130</v>
      </c>
      <c r="K25" s="25">
        <f t="shared" si="3"/>
        <v>-150</v>
      </c>
    </row>
    <row r="26" spans="1:11" ht="18" customHeight="1" x14ac:dyDescent="0.3">
      <c r="A26" s="143" t="s">
        <v>179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</row>
    <row r="27" spans="1:11" ht="16.5" customHeight="1" x14ac:dyDescent="0.3">
      <c r="A27" s="26" t="s">
        <v>180</v>
      </c>
      <c r="B27" s="24">
        <v>250</v>
      </c>
      <c r="C27" s="44">
        <f t="shared" ref="C27:K27" si="4">B29</f>
        <v>640.13840000000005</v>
      </c>
      <c r="D27" s="44">
        <f t="shared" si="4"/>
        <v>833.50105200000007</v>
      </c>
      <c r="E27" s="44">
        <f t="shared" si="4"/>
        <v>923.81594800000016</v>
      </c>
      <c r="F27" s="44">
        <f t="shared" si="4"/>
        <v>950.22250800000006</v>
      </c>
      <c r="G27" s="44">
        <f t="shared" si="4"/>
        <v>922.2208720000001</v>
      </c>
      <c r="H27" s="44">
        <f t="shared" si="4"/>
        <v>1107.6953220000003</v>
      </c>
      <c r="I27" s="44">
        <f t="shared" si="4"/>
        <v>1378.5121070000002</v>
      </c>
      <c r="J27" s="44">
        <f t="shared" si="4"/>
        <v>1744.8650969476</v>
      </c>
      <c r="K27" s="44">
        <f t="shared" si="4"/>
        <v>2202.5726937438239</v>
      </c>
    </row>
    <row r="28" spans="1:11" ht="16.5" customHeight="1" x14ac:dyDescent="0.3">
      <c r="A28" s="26" t="s">
        <v>181</v>
      </c>
      <c r="B28" s="44">
        <f t="shared" ref="B28:K28" si="5">B11+B16+B25</f>
        <v>390.13840000000005</v>
      </c>
      <c r="C28" s="44">
        <f t="shared" si="5"/>
        <v>193.36265200000003</v>
      </c>
      <c r="D28" s="44">
        <f t="shared" si="5"/>
        <v>90.31489600000009</v>
      </c>
      <c r="E28" s="44">
        <f t="shared" si="5"/>
        <v>26.406559999999899</v>
      </c>
      <c r="F28" s="44">
        <f t="shared" si="5"/>
        <v>-28.001635999999962</v>
      </c>
      <c r="G28" s="44">
        <f t="shared" si="5"/>
        <v>185.47445000000016</v>
      </c>
      <c r="H28" s="44">
        <f t="shared" si="5"/>
        <v>270.81678499999998</v>
      </c>
      <c r="I28" s="44">
        <f t="shared" si="5"/>
        <v>366.35298994759978</v>
      </c>
      <c r="J28" s="44">
        <f t="shared" si="5"/>
        <v>457.70759679622415</v>
      </c>
      <c r="K28" s="44">
        <f t="shared" si="5"/>
        <v>528.01209290604811</v>
      </c>
    </row>
    <row r="29" spans="1:11" ht="16.5" customHeight="1" x14ac:dyDescent="0.3">
      <c r="A29" s="23" t="s">
        <v>182</v>
      </c>
      <c r="B29" s="25">
        <f t="shared" ref="B29:K29" si="6">B27+B28</f>
        <v>640.13840000000005</v>
      </c>
      <c r="C29" s="25">
        <f t="shared" si="6"/>
        <v>833.50105200000007</v>
      </c>
      <c r="D29" s="25">
        <f t="shared" si="6"/>
        <v>923.81594800000016</v>
      </c>
      <c r="E29" s="25">
        <f t="shared" si="6"/>
        <v>950.22250800000006</v>
      </c>
      <c r="F29" s="25">
        <f t="shared" si="6"/>
        <v>922.2208720000001</v>
      </c>
      <c r="G29" s="25">
        <f t="shared" si="6"/>
        <v>1107.6953220000003</v>
      </c>
      <c r="H29" s="25">
        <f t="shared" si="6"/>
        <v>1378.5121070000002</v>
      </c>
      <c r="I29" s="25">
        <f t="shared" si="6"/>
        <v>1744.8650969476</v>
      </c>
      <c r="J29" s="25">
        <f t="shared" si="6"/>
        <v>2202.5726937438239</v>
      </c>
      <c r="K29" s="25">
        <f t="shared" si="6"/>
        <v>2730.5847866498721</v>
      </c>
    </row>
  </sheetData>
  <mergeCells count="6">
    <mergeCell ref="A26:K26"/>
    <mergeCell ref="A1:K1"/>
    <mergeCell ref="A5:K5"/>
    <mergeCell ref="A12:K12"/>
    <mergeCell ref="A17:K17"/>
    <mergeCell ref="A20:K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8"/>
  <sheetViews>
    <sheetView showGridLines="0" zoomScale="49" zoomScaleNormal="100" workbookViewId="0">
      <selection sqref="A1:G1"/>
    </sheetView>
  </sheetViews>
  <sheetFormatPr defaultColWidth="8.6640625" defaultRowHeight="14.4" x14ac:dyDescent="0.3"/>
  <cols>
    <col min="1" max="1" width="38" customWidth="1"/>
    <col min="2" max="8" width="14" customWidth="1"/>
  </cols>
  <sheetData>
    <row r="1" spans="1:7" ht="30" customHeight="1" x14ac:dyDescent="0.3">
      <c r="A1" s="142" t="s">
        <v>183</v>
      </c>
      <c r="B1" s="142"/>
      <c r="C1" s="142"/>
      <c r="D1" s="142"/>
      <c r="E1" s="142"/>
      <c r="F1" s="142"/>
      <c r="G1" s="142"/>
    </row>
    <row r="3" spans="1:7" ht="18" customHeight="1" x14ac:dyDescent="0.3">
      <c r="A3" s="143" t="s">
        <v>184</v>
      </c>
      <c r="B3" s="143"/>
      <c r="C3" s="143"/>
      <c r="D3" s="143"/>
      <c r="E3" s="143"/>
      <c r="F3" s="143"/>
      <c r="G3" s="143"/>
    </row>
    <row r="6" spans="1:7" ht="16.5" customHeight="1" x14ac:dyDescent="0.3">
      <c r="A6" s="26" t="s">
        <v>185</v>
      </c>
      <c r="B6" s="57">
        <f>Assumptions!B43</f>
        <v>6.6100000000000006E-2</v>
      </c>
      <c r="C6" s="18" t="s">
        <v>186</v>
      </c>
    </row>
    <row r="7" spans="1:7" ht="16.5" customHeight="1" x14ac:dyDescent="0.3">
      <c r="A7" s="26" t="s">
        <v>187</v>
      </c>
      <c r="B7" s="58">
        <f>Assumptions!B44</f>
        <v>1.1499999999999999</v>
      </c>
      <c r="C7" s="59" t="s">
        <v>188</v>
      </c>
    </row>
    <row r="8" spans="1:7" ht="16.5" customHeight="1" x14ac:dyDescent="0.3">
      <c r="A8" s="26" t="s">
        <v>82</v>
      </c>
      <c r="B8" s="57">
        <f>Assumptions!B45</f>
        <v>7.0000000000000007E-2</v>
      </c>
      <c r="C8" s="59" t="s">
        <v>83</v>
      </c>
    </row>
    <row r="9" spans="1:7" ht="16.5" customHeight="1" x14ac:dyDescent="0.3">
      <c r="A9" s="23" t="s">
        <v>189</v>
      </c>
      <c r="B9" s="60">
        <f>Assumptions!B46</f>
        <v>0.14660000000000001</v>
      </c>
      <c r="C9" s="38" t="s">
        <v>190</v>
      </c>
    </row>
    <row r="10" spans="1:7" ht="16.5" customHeight="1" x14ac:dyDescent="0.3">
      <c r="A10" s="39" t="s">
        <v>191</v>
      </c>
      <c r="B10" s="61">
        <f>Assumptions!B47</f>
        <v>0.14660000000000001</v>
      </c>
      <c r="C10" s="38" t="s">
        <v>192</v>
      </c>
    </row>
    <row r="11" spans="1:7" ht="16.5" customHeight="1" x14ac:dyDescent="0.3">
      <c r="A11" s="26" t="s">
        <v>88</v>
      </c>
      <c r="B11" s="57">
        <f>Assumptions!B48</f>
        <v>4.4999999999999998E-2</v>
      </c>
      <c r="C11" s="18" t="s">
        <v>89</v>
      </c>
    </row>
    <row r="12" spans="1:7" ht="16.5" customHeight="1" x14ac:dyDescent="0.3">
      <c r="A12" s="26" t="s">
        <v>90</v>
      </c>
      <c r="B12" s="48">
        <f>Assumptions!B49</f>
        <v>1</v>
      </c>
    </row>
    <row r="13" spans="1:7" ht="16.5" customHeight="1" x14ac:dyDescent="0.3">
      <c r="A13" s="26" t="s">
        <v>92</v>
      </c>
      <c r="B13" s="48">
        <f>Assumptions!B50</f>
        <v>0</v>
      </c>
    </row>
    <row r="15" spans="1:7" ht="18" customHeight="1" x14ac:dyDescent="0.3">
      <c r="A15" s="143" t="s">
        <v>193</v>
      </c>
      <c r="B15" s="143"/>
      <c r="C15" s="143"/>
      <c r="D15" s="143"/>
      <c r="E15" s="143"/>
      <c r="F15" s="143"/>
      <c r="G15" s="143"/>
    </row>
    <row r="16" spans="1:7" ht="19.5" customHeight="1" x14ac:dyDescent="0.3">
      <c r="A16" s="19"/>
      <c r="B16" s="19" t="s">
        <v>43</v>
      </c>
      <c r="C16" s="19" t="s">
        <v>44</v>
      </c>
      <c r="D16" s="19" t="s">
        <v>45</v>
      </c>
      <c r="E16" s="19" t="s">
        <v>46</v>
      </c>
      <c r="F16" s="19" t="s">
        <v>47</v>
      </c>
      <c r="G16" s="19" t="s">
        <v>194</v>
      </c>
    </row>
    <row r="17" spans="1:7" ht="16.5" customHeight="1" x14ac:dyDescent="0.3">
      <c r="A17" s="26" t="s">
        <v>195</v>
      </c>
      <c r="B17" s="47">
        <f>Assumptions!G6</f>
        <v>4296.6600000000008</v>
      </c>
      <c r="C17" s="47">
        <f>Assumptions!H6</f>
        <v>4915.3790400000007</v>
      </c>
      <c r="D17" s="47">
        <f>Assumptions!I6</f>
        <v>5613.3628636800004</v>
      </c>
      <c r="E17" s="47">
        <f>Assumptions!J6</f>
        <v>6286.9664073216009</v>
      </c>
      <c r="F17" s="47">
        <f>Assumptions!K6</f>
        <v>6915.6630480537615</v>
      </c>
    </row>
    <row r="18" spans="1:7" ht="16.5" customHeight="1" x14ac:dyDescent="0.3">
      <c r="A18" s="26" t="s">
        <v>113</v>
      </c>
      <c r="B18" s="47">
        <f>'Income Statement'!G23</f>
        <v>472.63260000000008</v>
      </c>
      <c r="C18" s="47">
        <f>'Income Statement'!H23</f>
        <v>614.42238000000009</v>
      </c>
      <c r="D18" s="47">
        <f>'Income Statement'!I23</f>
        <v>757.80398659680009</v>
      </c>
      <c r="E18" s="47">
        <f>'Income Statement'!J23</f>
        <v>911.61012906163205</v>
      </c>
      <c r="F18" s="47">
        <f>'Income Statement'!K23</f>
        <v>1037.3494572080642</v>
      </c>
    </row>
    <row r="19" spans="1:7" ht="16.5" customHeight="1" x14ac:dyDescent="0.3">
      <c r="A19" s="23" t="s">
        <v>196</v>
      </c>
      <c r="B19" s="44">
        <f>-B18*Assumptions!B14</f>
        <v>-157.38665580000003</v>
      </c>
      <c r="C19" s="44">
        <f>-C18*Assumptions!B14</f>
        <v>-204.60265254000004</v>
      </c>
      <c r="D19" s="44">
        <f>-D18*Assumptions!B14</f>
        <v>-252.34872753673443</v>
      </c>
      <c r="E19" s="44">
        <f>-E18*Assumptions!B14</f>
        <v>-303.56617297752348</v>
      </c>
      <c r="F19" s="44">
        <f>-F18*Assumptions!B14</f>
        <v>-345.43736925028543</v>
      </c>
    </row>
    <row r="20" spans="1:7" ht="16.5" customHeight="1" x14ac:dyDescent="0.3">
      <c r="A20" s="23" t="s">
        <v>197</v>
      </c>
      <c r="B20" s="25">
        <f>B18*(1-Assumptions!B14)</f>
        <v>315.24594420000005</v>
      </c>
      <c r="C20" s="25">
        <f>C18*(1-Assumptions!B14)</f>
        <v>409.81972746000008</v>
      </c>
      <c r="D20" s="25">
        <f>D18*(1-Assumptions!B14)</f>
        <v>505.45525906006571</v>
      </c>
      <c r="E20" s="25">
        <f>E18*(1-Assumptions!B14)</f>
        <v>608.04395608410857</v>
      </c>
      <c r="F20" s="25">
        <f>F18*(1-Assumptions!B14)</f>
        <v>691.91208795777891</v>
      </c>
    </row>
    <row r="21" spans="1:7" ht="16.5" customHeight="1" x14ac:dyDescent="0.3">
      <c r="A21" s="26" t="s">
        <v>198</v>
      </c>
      <c r="B21" s="44">
        <f>'Income Statement'!G20-'Income Statement'!G23</f>
        <v>1288.998</v>
      </c>
      <c r="C21" s="44">
        <f>'Income Statement'!H20-'Income Statement'!H23</f>
        <v>1450.0368168000005</v>
      </c>
      <c r="D21" s="44">
        <f>'Income Statement'!I20-'Income Statement'!I23</f>
        <v>1627.8752304672</v>
      </c>
      <c r="E21" s="44">
        <f>'Income Statement'!J20-'Income Statement'!J23</f>
        <v>1791.7854260866561</v>
      </c>
      <c r="F21" s="44">
        <f>'Income Statement'!K20-'Income Statement'!K23</f>
        <v>1936.385653455053</v>
      </c>
    </row>
    <row r="22" spans="1:7" ht="16.5" customHeight="1" x14ac:dyDescent="0.3">
      <c r="A22" s="26" t="s">
        <v>199</v>
      </c>
      <c r="B22" s="44">
        <f>-Assumptions!G37*B17</f>
        <v>-429.66600000000011</v>
      </c>
      <c r="C22" s="44">
        <f>-Assumptions!H37*C17</f>
        <v>-466.96100880000006</v>
      </c>
      <c r="D22" s="44">
        <f>-Assumptions!I37*D17</f>
        <v>-505.20265773120002</v>
      </c>
      <c r="E22" s="44">
        <f>-Assumptions!J37*E17</f>
        <v>-534.3921446223361</v>
      </c>
      <c r="F22" s="44">
        <f>-Assumptions!K37*F17</f>
        <v>-553.25304384430092</v>
      </c>
    </row>
    <row r="23" spans="1:7" ht="16.5" customHeight="1" x14ac:dyDescent="0.3">
      <c r="A23" s="26" t="s">
        <v>200</v>
      </c>
      <c r="B23" s="47">
        <f>Assumptions!G36</f>
        <v>-65</v>
      </c>
      <c r="C23" s="47">
        <f>Assumptions!H36</f>
        <v>-67</v>
      </c>
      <c r="D23" s="47">
        <f>Assumptions!I36</f>
        <v>-65</v>
      </c>
      <c r="E23" s="47">
        <f>Assumptions!J36</f>
        <v>-70</v>
      </c>
      <c r="F23" s="47">
        <f>Assumptions!K36</f>
        <v>-75</v>
      </c>
    </row>
    <row r="24" spans="1:7" ht="16.5" customHeight="1" x14ac:dyDescent="0.3">
      <c r="A24" s="23" t="s">
        <v>201</v>
      </c>
      <c r="B24" s="25">
        <f>B20+B21+B22+B23</f>
        <v>1109.5779441999998</v>
      </c>
      <c r="C24" s="25">
        <f>C20+C21+C22+C23</f>
        <v>1325.8955354600007</v>
      </c>
      <c r="D24" s="25">
        <f>D20+D21+D22+D23</f>
        <v>1563.1278317960659</v>
      </c>
      <c r="E24" s="25">
        <f>E20+E21+E22+E23</f>
        <v>1795.4372375484286</v>
      </c>
      <c r="F24" s="25">
        <f>F20+F21+F22+F23</f>
        <v>2000.0446975685309</v>
      </c>
    </row>
    <row r="25" spans="1:7" ht="16.5" customHeight="1" x14ac:dyDescent="0.3">
      <c r="A25" s="26" t="s">
        <v>202</v>
      </c>
      <c r="B25" s="62">
        <f>1</f>
        <v>1</v>
      </c>
      <c r="C25" s="62">
        <f>2</f>
        <v>2</v>
      </c>
      <c r="D25" s="62">
        <f>3</f>
        <v>3</v>
      </c>
      <c r="E25" s="62">
        <f>4</f>
        <v>4</v>
      </c>
      <c r="F25" s="62">
        <f>5</f>
        <v>5</v>
      </c>
    </row>
    <row r="26" spans="1:7" ht="16.5" customHeight="1" x14ac:dyDescent="0.3">
      <c r="A26" s="26" t="s">
        <v>203</v>
      </c>
      <c r="B26" s="63">
        <f>1/(1+Assumptions!B47)^B25</f>
        <v>0.87214372928658634</v>
      </c>
      <c r="C26" s="63">
        <f>1/(1+Assumptions!B47)^C25</f>
        <v>0.76063468453391447</v>
      </c>
      <c r="D26" s="63">
        <f>1/(1+Assumptions!B47)^D25</f>
        <v>0.66338277039413429</v>
      </c>
      <c r="E26" s="63">
        <f>1/(1+Assumptions!B47)^E25</f>
        <v>0.57856512331600751</v>
      </c>
      <c r="F26" s="63">
        <f>1/(1+Assumptions!B47)^F25</f>
        <v>0.50459194428397658</v>
      </c>
    </row>
    <row r="27" spans="1:7" ht="16.5" customHeight="1" x14ac:dyDescent="0.3">
      <c r="A27" s="23" t="s">
        <v>204</v>
      </c>
      <c r="B27" s="25">
        <f>B24*B26</f>
        <v>967.71144618873166</v>
      </c>
      <c r="C27" s="25">
        <f>C24*C26</f>
        <v>1008.5221323395432</v>
      </c>
      <c r="D27" s="25">
        <f>D24*D26</f>
        <v>1036.9520715370506</v>
      </c>
      <c r="E27" s="25">
        <f>E24*E26</f>
        <v>1038.7773667483584</v>
      </c>
      <c r="F27" s="25">
        <f>F24*F26</f>
        <v>1009.2064426009629</v>
      </c>
    </row>
    <row r="29" spans="1:7" ht="18" customHeight="1" x14ac:dyDescent="0.3">
      <c r="A29" s="143" t="s">
        <v>205</v>
      </c>
      <c r="B29" s="143"/>
      <c r="C29" s="143"/>
      <c r="D29" s="143"/>
      <c r="E29" s="143"/>
      <c r="F29" s="143"/>
      <c r="G29" s="143"/>
    </row>
    <row r="31" spans="1:7" ht="16.5" customHeight="1" x14ac:dyDescent="0.3">
      <c r="A31" s="64" t="s">
        <v>206</v>
      </c>
      <c r="B31" s="25">
        <f>F24*(1+Assumptions!B48)</f>
        <v>2090.0467089591148</v>
      </c>
      <c r="C31" s="38" t="s">
        <v>207</v>
      </c>
    </row>
    <row r="32" spans="1:7" ht="16.5" customHeight="1" x14ac:dyDescent="0.3">
      <c r="A32" s="39" t="s">
        <v>208</v>
      </c>
      <c r="B32" s="45">
        <f>B31/(Assumptions!B47-Assumptions!B48)</f>
        <v>20571.325875581835</v>
      </c>
      <c r="C32" s="38" t="s">
        <v>209</v>
      </c>
    </row>
    <row r="33" spans="1:7" ht="16.5" customHeight="1" x14ac:dyDescent="0.3">
      <c r="A33" s="64" t="s">
        <v>210</v>
      </c>
      <c r="B33" s="25">
        <f>B32*F26</f>
        <v>10380.125320059115</v>
      </c>
      <c r="C33" s="38" t="s">
        <v>211</v>
      </c>
    </row>
    <row r="35" spans="1:7" ht="18" customHeight="1" x14ac:dyDescent="0.3">
      <c r="A35" s="143" t="s">
        <v>212</v>
      </c>
      <c r="B35" s="143"/>
      <c r="C35" s="143"/>
      <c r="D35" s="143"/>
      <c r="E35" s="143"/>
      <c r="F35" s="143"/>
      <c r="G35" s="143"/>
    </row>
    <row r="37" spans="1:7" ht="16.5" customHeight="1" x14ac:dyDescent="0.3">
      <c r="A37" s="23" t="s">
        <v>213</v>
      </c>
      <c r="B37" s="25">
        <f>SUM(B27:F27)</f>
        <v>5061.1694594146466</v>
      </c>
    </row>
    <row r="38" spans="1:7" ht="16.5" customHeight="1" x14ac:dyDescent="0.3">
      <c r="A38" s="23" t="s">
        <v>214</v>
      </c>
      <c r="B38" s="25">
        <f>B33</f>
        <v>10380.125320059115</v>
      </c>
    </row>
    <row r="39" spans="1:7" ht="16.5" customHeight="1" x14ac:dyDescent="0.3">
      <c r="A39" s="54" t="s">
        <v>215</v>
      </c>
      <c r="B39" s="45">
        <f>B37+B38</f>
        <v>15441.294779473761</v>
      </c>
    </row>
    <row r="40" spans="1:7" ht="16.5" customHeight="1" x14ac:dyDescent="0.3">
      <c r="A40" s="26" t="s">
        <v>216</v>
      </c>
      <c r="B40" s="47">
        <f>'Balance Sheet'!F6</f>
        <v>800</v>
      </c>
    </row>
    <row r="41" spans="1:7" ht="16.5" customHeight="1" x14ac:dyDescent="0.3">
      <c r="A41" s="26" t="s">
        <v>217</v>
      </c>
      <c r="B41" s="24">
        <v>50</v>
      </c>
    </row>
    <row r="42" spans="1:7" ht="16.5" customHeight="1" x14ac:dyDescent="0.3">
      <c r="A42" s="26" t="s">
        <v>218</v>
      </c>
      <c r="B42" s="44">
        <f>0</f>
        <v>0</v>
      </c>
    </row>
    <row r="43" spans="1:7" ht="16.5" customHeight="1" x14ac:dyDescent="0.3">
      <c r="A43" s="54" t="s">
        <v>219</v>
      </c>
      <c r="B43" s="45">
        <f>B39+B40+B41-B42</f>
        <v>16291.294779473761</v>
      </c>
    </row>
    <row r="45" spans="1:7" ht="18" customHeight="1" x14ac:dyDescent="0.3">
      <c r="A45" s="143" t="s">
        <v>220</v>
      </c>
      <c r="B45" s="143"/>
      <c r="C45" s="143"/>
      <c r="D45" s="143"/>
      <c r="E45" s="143"/>
      <c r="F45" s="143"/>
      <c r="G45" s="143"/>
    </row>
    <row r="46" spans="1:7" ht="19.5" customHeight="1" x14ac:dyDescent="0.3">
      <c r="A46" s="19" t="s">
        <v>221</v>
      </c>
      <c r="B46" s="19" t="s">
        <v>222</v>
      </c>
      <c r="C46" s="19" t="s">
        <v>223</v>
      </c>
      <c r="D46" s="19" t="s">
        <v>224</v>
      </c>
      <c r="E46" s="19" t="s">
        <v>225</v>
      </c>
    </row>
    <row r="47" spans="1:7" ht="16.5" customHeight="1" x14ac:dyDescent="0.3">
      <c r="A47" s="26" t="s">
        <v>226</v>
      </c>
      <c r="B47" s="47">
        <f>'Income Statement'!F6</f>
        <v>3769</v>
      </c>
      <c r="C47" s="65">
        <f>B39/'Income Statement'!F6</f>
        <v>4.0969208754241873</v>
      </c>
      <c r="D47" s="66">
        <v>3.5</v>
      </c>
      <c r="E47" s="43">
        <f>C47/D47-1</f>
        <v>0.17054882154976769</v>
      </c>
    </row>
    <row r="48" spans="1:7" ht="16.5" customHeight="1" x14ac:dyDescent="0.3">
      <c r="A48" s="26" t="s">
        <v>227</v>
      </c>
      <c r="B48" s="47">
        <f>'Income Statement'!F20</f>
        <v>1500.0620000000001</v>
      </c>
      <c r="C48" s="65">
        <f>B39/'Income Statement'!F20</f>
        <v>10.293771043779364</v>
      </c>
      <c r="D48" s="66">
        <v>8.5</v>
      </c>
      <c r="E48" s="43">
        <f>C48/D48-1</f>
        <v>0.21103188750345447</v>
      </c>
    </row>
  </sheetData>
  <mergeCells count="6">
    <mergeCell ref="A45:G45"/>
    <mergeCell ref="A1:G1"/>
    <mergeCell ref="A3:G3"/>
    <mergeCell ref="A15:G15"/>
    <mergeCell ref="A29:G29"/>
    <mergeCell ref="A35:G3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22" customWidth="1"/>
    <col min="2" max="8" width="15" customWidth="1"/>
  </cols>
  <sheetData>
    <row r="1" spans="1:8" ht="30" customHeight="1" x14ac:dyDescent="0.3">
      <c r="A1" s="142" t="s">
        <v>228</v>
      </c>
      <c r="B1" s="142"/>
      <c r="C1" s="142"/>
      <c r="D1" s="142"/>
      <c r="E1" s="142"/>
      <c r="F1" s="142"/>
      <c r="G1" s="142"/>
      <c r="H1" s="142"/>
    </row>
    <row r="3" spans="1:8" ht="18" customHeight="1" x14ac:dyDescent="0.3">
      <c r="A3" s="143" t="s">
        <v>229</v>
      </c>
      <c r="B3" s="143"/>
      <c r="C3" s="143"/>
      <c r="D3" s="143"/>
      <c r="E3" s="143"/>
      <c r="F3" s="143"/>
      <c r="G3" s="143"/>
      <c r="H3" s="143"/>
    </row>
    <row r="4" spans="1:8" ht="15" customHeight="1" x14ac:dyDescent="0.3">
      <c r="A4" s="18" t="s">
        <v>230</v>
      </c>
    </row>
    <row r="5" spans="1:8" ht="15" customHeight="1" x14ac:dyDescent="0.3">
      <c r="A5" s="38" t="s">
        <v>231</v>
      </c>
    </row>
    <row r="7" spans="1:8" ht="15" customHeight="1" x14ac:dyDescent="0.3">
      <c r="A7" s="20" t="s">
        <v>232</v>
      </c>
      <c r="B7" s="19" t="s">
        <v>233</v>
      </c>
      <c r="C7" s="19" t="s">
        <v>234</v>
      </c>
      <c r="D7" s="19" t="s">
        <v>235</v>
      </c>
      <c r="E7" s="19" t="s">
        <v>236</v>
      </c>
      <c r="F7" s="19" t="s">
        <v>237</v>
      </c>
    </row>
    <row r="8" spans="1:8" ht="16.5" customHeight="1" x14ac:dyDescent="0.3">
      <c r="A8" s="19" t="s">
        <v>238</v>
      </c>
      <c r="B8" s="67">
        <v>19234</v>
      </c>
      <c r="C8" s="67">
        <v>20156</v>
      </c>
      <c r="D8" s="67">
        <v>21234</v>
      </c>
      <c r="E8" s="67">
        <v>22489</v>
      </c>
      <c r="F8" s="67">
        <v>23956</v>
      </c>
    </row>
    <row r="9" spans="1:8" ht="16.5" customHeight="1" x14ac:dyDescent="0.3">
      <c r="A9" s="19" t="s">
        <v>239</v>
      </c>
      <c r="B9" s="68">
        <v>17456</v>
      </c>
      <c r="C9" s="67">
        <v>18234</v>
      </c>
      <c r="D9" s="67">
        <v>19123</v>
      </c>
      <c r="E9" s="67">
        <v>20145</v>
      </c>
      <c r="F9" s="67">
        <v>21323</v>
      </c>
    </row>
    <row r="10" spans="1:8" ht="16.5" customHeight="1" x14ac:dyDescent="0.3">
      <c r="A10" s="69" t="s">
        <v>240</v>
      </c>
      <c r="B10" s="70">
        <v>14928</v>
      </c>
      <c r="C10" s="71">
        <f>'DCF &amp; WACC'!B39</f>
        <v>15441.294779473761</v>
      </c>
      <c r="D10" s="72">
        <v>16668</v>
      </c>
      <c r="E10" s="73">
        <v>17234</v>
      </c>
      <c r="F10" s="74">
        <v>18456</v>
      </c>
    </row>
    <row r="11" spans="1:8" ht="16.5" customHeight="1" x14ac:dyDescent="0.3">
      <c r="A11" s="19" t="s">
        <v>241</v>
      </c>
      <c r="B11" s="75">
        <v>14123</v>
      </c>
      <c r="C11" s="75">
        <v>14689</v>
      </c>
      <c r="D11" s="68">
        <v>15334</v>
      </c>
      <c r="E11" s="68">
        <v>16078</v>
      </c>
      <c r="F11" s="68">
        <v>16945</v>
      </c>
    </row>
    <row r="12" spans="1:8" ht="16.5" customHeight="1" x14ac:dyDescent="0.3">
      <c r="A12" s="19" t="s">
        <v>242</v>
      </c>
      <c r="B12" s="75">
        <v>13045</v>
      </c>
      <c r="C12" s="75">
        <v>13534</v>
      </c>
      <c r="D12" s="75">
        <v>14089</v>
      </c>
      <c r="E12" s="75">
        <v>14723</v>
      </c>
      <c r="F12" s="68">
        <v>15445</v>
      </c>
    </row>
    <row r="13" spans="1:8" ht="16.5" customHeight="1" x14ac:dyDescent="0.3">
      <c r="A13" s="19" t="s">
        <v>243</v>
      </c>
      <c r="B13" s="75">
        <v>12056</v>
      </c>
      <c r="C13" s="75">
        <v>12489</v>
      </c>
      <c r="D13" s="75">
        <v>12985</v>
      </c>
      <c r="E13" s="75">
        <v>13543</v>
      </c>
      <c r="F13" s="75">
        <v>14167</v>
      </c>
    </row>
    <row r="17" spans="1:7" ht="18" customHeight="1" x14ac:dyDescent="0.3">
      <c r="A17" s="143" t="s">
        <v>244</v>
      </c>
      <c r="B17" s="143"/>
      <c r="C17" s="143"/>
      <c r="D17" s="143"/>
      <c r="E17" s="143"/>
      <c r="F17" s="143"/>
      <c r="G17" s="143"/>
    </row>
    <row r="18" spans="1:7" ht="19.5" customHeight="1" x14ac:dyDescent="0.3">
      <c r="A18" s="19" t="s">
        <v>245</v>
      </c>
      <c r="B18" s="19" t="s">
        <v>246</v>
      </c>
      <c r="C18" s="19" t="s">
        <v>247</v>
      </c>
      <c r="D18" s="19" t="s">
        <v>248</v>
      </c>
      <c r="E18" s="19" t="s">
        <v>249</v>
      </c>
      <c r="F18" s="19" t="s">
        <v>250</v>
      </c>
    </row>
    <row r="19" spans="1:7" ht="16.5" customHeight="1" x14ac:dyDescent="0.3">
      <c r="A19" s="76" t="s">
        <v>251</v>
      </c>
      <c r="B19" s="77" t="s">
        <v>252</v>
      </c>
      <c r="C19" s="78">
        <v>13234</v>
      </c>
      <c r="D19" s="79">
        <v>-0.20499999999999999</v>
      </c>
      <c r="E19" s="78">
        <v>14084</v>
      </c>
      <c r="F19" s="77" t="s">
        <v>253</v>
      </c>
    </row>
    <row r="20" spans="1:7" ht="16.5" customHeight="1" x14ac:dyDescent="0.3">
      <c r="A20" s="80" t="s">
        <v>254</v>
      </c>
      <c r="B20" s="81" t="s">
        <v>255</v>
      </c>
      <c r="C20" s="82">
        <v>14567</v>
      </c>
      <c r="D20" s="83">
        <v>-0.126</v>
      </c>
      <c r="E20" s="82">
        <v>15417</v>
      </c>
      <c r="F20" s="81" t="s">
        <v>256</v>
      </c>
    </row>
    <row r="21" spans="1:7" ht="16.5" customHeight="1" x14ac:dyDescent="0.3">
      <c r="A21" s="84" t="s">
        <v>257</v>
      </c>
      <c r="B21" s="85" t="s">
        <v>258</v>
      </c>
      <c r="C21" s="72">
        <f>'DCF &amp; WACC'!B39</f>
        <v>15441.294779473761</v>
      </c>
      <c r="D21" s="86">
        <v>0</v>
      </c>
      <c r="E21" s="72">
        <v>17518</v>
      </c>
      <c r="F21" s="85" t="s">
        <v>259</v>
      </c>
    </row>
    <row r="22" spans="1:7" ht="16.5" customHeight="1" x14ac:dyDescent="0.3">
      <c r="A22" s="80" t="s">
        <v>260</v>
      </c>
      <c r="B22" s="81" t="s">
        <v>261</v>
      </c>
      <c r="C22" s="82">
        <v>17234</v>
      </c>
      <c r="D22" s="83">
        <v>3.4000000000000002E-2</v>
      </c>
      <c r="E22" s="82">
        <v>18084</v>
      </c>
      <c r="F22" s="81" t="s">
        <v>262</v>
      </c>
    </row>
    <row r="23" spans="1:7" ht="16.5" customHeight="1" x14ac:dyDescent="0.3">
      <c r="A23" s="76" t="s">
        <v>263</v>
      </c>
      <c r="B23" s="77" t="s">
        <v>264</v>
      </c>
      <c r="C23" s="78">
        <v>18789</v>
      </c>
      <c r="D23" s="79">
        <v>0.127</v>
      </c>
      <c r="E23" s="78">
        <v>19639</v>
      </c>
      <c r="F23" s="77" t="s">
        <v>265</v>
      </c>
    </row>
    <row r="24" spans="1:7" ht="16.5" customHeight="1" x14ac:dyDescent="0.3">
      <c r="A24" s="80" t="s">
        <v>266</v>
      </c>
      <c r="B24" s="81" t="s">
        <v>267</v>
      </c>
      <c r="C24" s="82">
        <v>20567</v>
      </c>
      <c r="D24" s="83">
        <v>0.23400000000000001</v>
      </c>
      <c r="E24" s="82">
        <v>21417</v>
      </c>
      <c r="F24" s="81" t="s">
        <v>268</v>
      </c>
    </row>
  </sheetData>
  <mergeCells count="3">
    <mergeCell ref="A1:H1"/>
    <mergeCell ref="A3:H3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showGridLines="0" zoomScaleNormal="100" workbookViewId="0">
      <selection activeCell="N5" sqref="N5"/>
    </sheetView>
  </sheetViews>
  <sheetFormatPr defaultColWidth="8.6640625" defaultRowHeight="14.4" x14ac:dyDescent="0.3"/>
  <cols>
    <col min="1" max="1" width="28" customWidth="1"/>
    <col min="2" max="7" width="14" customWidth="1"/>
    <col min="8" max="8" width="18" bestFit="1" customWidth="1"/>
  </cols>
  <sheetData>
    <row r="1" spans="1:8" ht="30" customHeight="1" x14ac:dyDescent="0.3">
      <c r="A1" s="142" t="s">
        <v>269</v>
      </c>
      <c r="B1" s="142"/>
      <c r="C1" s="142"/>
      <c r="D1" s="142"/>
      <c r="E1" s="142"/>
      <c r="F1" s="142"/>
      <c r="G1" s="142"/>
      <c r="H1" s="142"/>
    </row>
    <row r="3" spans="1:8" ht="18" customHeight="1" x14ac:dyDescent="0.3">
      <c r="A3" s="143" t="s">
        <v>270</v>
      </c>
      <c r="B3" s="143"/>
      <c r="C3" s="143"/>
      <c r="D3" s="143"/>
      <c r="E3" s="143"/>
      <c r="F3" s="143"/>
      <c r="G3" s="143"/>
      <c r="H3" s="143"/>
    </row>
    <row r="4" spans="1:8" ht="19.5" customHeight="1" x14ac:dyDescent="0.3">
      <c r="A4" s="19" t="s">
        <v>271</v>
      </c>
      <c r="B4" s="19" t="s">
        <v>272</v>
      </c>
      <c r="C4" s="19" t="s">
        <v>273</v>
      </c>
      <c r="D4" s="19" t="s">
        <v>274</v>
      </c>
      <c r="E4" s="19" t="s">
        <v>275</v>
      </c>
      <c r="F4" s="19" t="s">
        <v>276</v>
      </c>
      <c r="G4" s="19" t="s">
        <v>277</v>
      </c>
      <c r="H4" s="19" t="s">
        <v>278</v>
      </c>
    </row>
    <row r="5" spans="1:8" ht="21.75" customHeight="1" x14ac:dyDescent="0.3">
      <c r="A5" s="15" t="s">
        <v>279</v>
      </c>
      <c r="B5" s="87" t="s">
        <v>280</v>
      </c>
      <c r="C5" s="87" t="s">
        <v>281</v>
      </c>
      <c r="D5" s="87" t="s">
        <v>282</v>
      </c>
      <c r="E5" s="87" t="s">
        <v>283</v>
      </c>
      <c r="F5" s="87" t="s">
        <v>284</v>
      </c>
      <c r="G5" s="87" t="s">
        <v>285</v>
      </c>
      <c r="H5" s="87" t="s">
        <v>286</v>
      </c>
    </row>
    <row r="6" spans="1:8" ht="21.75" customHeight="1" x14ac:dyDescent="0.3">
      <c r="A6" s="17" t="s">
        <v>287</v>
      </c>
      <c r="B6" s="88" t="s">
        <v>280</v>
      </c>
      <c r="C6" s="88" t="s">
        <v>288</v>
      </c>
      <c r="D6" s="88" t="s">
        <v>289</v>
      </c>
      <c r="E6" s="88" t="s">
        <v>290</v>
      </c>
      <c r="F6" s="88" t="s">
        <v>291</v>
      </c>
      <c r="G6" s="88" t="s">
        <v>292</v>
      </c>
      <c r="H6" s="88" t="s">
        <v>293</v>
      </c>
    </row>
    <row r="7" spans="1:8" ht="21.75" customHeight="1" x14ac:dyDescent="0.3">
      <c r="A7" s="15" t="s">
        <v>294</v>
      </c>
      <c r="B7" s="87" t="s">
        <v>280</v>
      </c>
      <c r="C7" s="87" t="s">
        <v>295</v>
      </c>
      <c r="D7" s="87" t="s">
        <v>296</v>
      </c>
      <c r="E7" s="87" t="s">
        <v>297</v>
      </c>
      <c r="F7" s="87" t="s">
        <v>298</v>
      </c>
      <c r="G7" s="87" t="s">
        <v>299</v>
      </c>
      <c r="H7" s="87" t="s">
        <v>300</v>
      </c>
    </row>
    <row r="8" spans="1:8" ht="21.75" customHeight="1" x14ac:dyDescent="0.3">
      <c r="A8" s="17" t="s">
        <v>301</v>
      </c>
      <c r="B8" s="88" t="s">
        <v>280</v>
      </c>
      <c r="C8" s="88" t="s">
        <v>302</v>
      </c>
      <c r="D8" s="88" t="s">
        <v>303</v>
      </c>
      <c r="E8" s="88" t="s">
        <v>304</v>
      </c>
      <c r="F8" s="88" t="s">
        <v>305</v>
      </c>
      <c r="G8" s="88" t="s">
        <v>306</v>
      </c>
      <c r="H8" s="88" t="s">
        <v>307</v>
      </c>
    </row>
    <row r="9" spans="1:8" ht="21.75" customHeight="1" x14ac:dyDescent="0.3">
      <c r="A9" s="15" t="s">
        <v>308</v>
      </c>
      <c r="B9" s="87" t="s">
        <v>309</v>
      </c>
      <c r="C9" s="87" t="s">
        <v>310</v>
      </c>
      <c r="D9" s="87" t="s">
        <v>311</v>
      </c>
      <c r="E9" s="87" t="s">
        <v>312</v>
      </c>
      <c r="F9" s="87" t="s">
        <v>313</v>
      </c>
      <c r="G9" s="87" t="s">
        <v>314</v>
      </c>
      <c r="H9" s="87" t="s">
        <v>315</v>
      </c>
    </row>
    <row r="10" spans="1:8" ht="21.75" customHeight="1" x14ac:dyDescent="0.3">
      <c r="A10" s="89" t="s">
        <v>316</v>
      </c>
      <c r="B10" s="20" t="s">
        <v>280</v>
      </c>
      <c r="C10" s="90">
        <f>'DCF &amp; WACC'!B43</f>
        <v>16291.294779473761</v>
      </c>
      <c r="D10" s="91">
        <f>'DCF &amp; WACC'!C47</f>
        <v>4.0969208754241873</v>
      </c>
      <c r="E10" s="91">
        <f>'DCF &amp; WACC'!C48</f>
        <v>10.293771043779364</v>
      </c>
      <c r="F10" s="20" t="s">
        <v>317</v>
      </c>
      <c r="G10" s="20" t="s">
        <v>318</v>
      </c>
      <c r="H10" s="20" t="s">
        <v>319</v>
      </c>
    </row>
  </sheetData>
  <mergeCells count="2">
    <mergeCell ref="A1:H1"/>
    <mergeCell ref="A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showGridLines="0" tabSelected="1" zoomScaleNormal="100" workbookViewId="0">
      <selection sqref="A1:F1"/>
    </sheetView>
  </sheetViews>
  <sheetFormatPr defaultColWidth="8.6640625" defaultRowHeight="14.4" x14ac:dyDescent="0.3"/>
  <cols>
    <col min="1" max="1" width="32" customWidth="1"/>
    <col min="2" max="6" width="16" customWidth="1"/>
  </cols>
  <sheetData>
    <row r="1" spans="1:6" ht="30" customHeight="1" x14ac:dyDescent="0.3">
      <c r="A1" s="142" t="s">
        <v>320</v>
      </c>
      <c r="B1" s="142"/>
      <c r="C1" s="142"/>
      <c r="D1" s="142"/>
      <c r="E1" s="142"/>
      <c r="F1" s="142"/>
    </row>
    <row r="3" spans="1:6" ht="27.75" customHeight="1" x14ac:dyDescent="0.3">
      <c r="A3" s="19" t="s">
        <v>321</v>
      </c>
      <c r="B3" s="92" t="s">
        <v>322</v>
      </c>
      <c r="C3" s="20" t="s">
        <v>323</v>
      </c>
      <c r="D3" s="93" t="s">
        <v>324</v>
      </c>
      <c r="E3" s="94" t="s">
        <v>325</v>
      </c>
    </row>
    <row r="4" spans="1:6" ht="19.5" customHeight="1" x14ac:dyDescent="0.3">
      <c r="A4" s="77" t="s">
        <v>245</v>
      </c>
      <c r="B4" s="95" t="s">
        <v>263</v>
      </c>
      <c r="C4" s="96" t="s">
        <v>257</v>
      </c>
      <c r="D4" s="97" t="s">
        <v>251</v>
      </c>
      <c r="E4" s="98" t="s">
        <v>326</v>
      </c>
    </row>
    <row r="5" spans="1:6" ht="19.5" customHeight="1" x14ac:dyDescent="0.3">
      <c r="A5" s="77" t="s">
        <v>327</v>
      </c>
      <c r="B5" s="95" t="s">
        <v>237</v>
      </c>
      <c r="C5" s="96" t="s">
        <v>235</v>
      </c>
      <c r="D5" s="97" t="s">
        <v>233</v>
      </c>
      <c r="E5" s="98" t="s">
        <v>235</v>
      </c>
    </row>
    <row r="6" spans="1:6" ht="19.5" customHeight="1" x14ac:dyDescent="0.3">
      <c r="A6" s="77" t="s">
        <v>5</v>
      </c>
      <c r="B6" s="95" t="s">
        <v>328</v>
      </c>
      <c r="C6" s="96" t="s">
        <v>240</v>
      </c>
      <c r="D6" s="97" t="s">
        <v>329</v>
      </c>
      <c r="E6" s="98" t="s">
        <v>330</v>
      </c>
    </row>
    <row r="7" spans="1:6" ht="19.5" customHeight="1" x14ac:dyDescent="0.3">
      <c r="A7" s="77" t="s">
        <v>331</v>
      </c>
      <c r="B7" s="95" t="s">
        <v>332</v>
      </c>
      <c r="C7" s="96" t="s">
        <v>333</v>
      </c>
      <c r="D7" s="97" t="s">
        <v>251</v>
      </c>
      <c r="E7" s="98" t="s">
        <v>334</v>
      </c>
    </row>
    <row r="8" spans="1:6" ht="19.5" customHeight="1" x14ac:dyDescent="0.3">
      <c r="A8" s="77" t="s">
        <v>335</v>
      </c>
      <c r="B8" s="95" t="s">
        <v>336</v>
      </c>
      <c r="C8" s="96" t="s">
        <v>337</v>
      </c>
      <c r="D8" s="97" t="s">
        <v>338</v>
      </c>
      <c r="E8" s="98" t="s">
        <v>339</v>
      </c>
    </row>
    <row r="9" spans="1:6" ht="19.5" customHeight="1" x14ac:dyDescent="0.3">
      <c r="A9" s="99" t="s">
        <v>340</v>
      </c>
      <c r="B9" s="92" t="s">
        <v>341</v>
      </c>
      <c r="C9" s="90">
        <f>'DCF &amp; WACC'!B39</f>
        <v>15441.294779473761</v>
      </c>
      <c r="D9" s="93" t="s">
        <v>342</v>
      </c>
      <c r="E9" s="94" t="s">
        <v>343</v>
      </c>
    </row>
    <row r="11" spans="1:6" ht="18" customHeight="1" x14ac:dyDescent="0.3">
      <c r="A11" s="143" t="s">
        <v>344</v>
      </c>
      <c r="B11" s="143"/>
      <c r="C11" s="143"/>
      <c r="D11" s="143"/>
      <c r="E11" s="143"/>
      <c r="F11" s="143"/>
    </row>
    <row r="12" spans="1:6" ht="18" customHeight="1" x14ac:dyDescent="0.3">
      <c r="A12" s="19" t="s">
        <v>246</v>
      </c>
      <c r="B12" s="19" t="s">
        <v>345</v>
      </c>
      <c r="C12" s="19" t="s">
        <v>346</v>
      </c>
      <c r="D12" s="19" t="s">
        <v>347</v>
      </c>
    </row>
    <row r="13" spans="1:6" ht="18" customHeight="1" x14ac:dyDescent="0.3">
      <c r="A13" s="100" t="s">
        <v>348</v>
      </c>
      <c r="B13" s="101">
        <v>0.25</v>
      </c>
      <c r="C13" s="67">
        <v>22456</v>
      </c>
      <c r="D13" s="67">
        <f>B13*C13</f>
        <v>5614</v>
      </c>
    </row>
    <row r="14" spans="1:6" ht="18" customHeight="1" x14ac:dyDescent="0.3">
      <c r="A14" s="102" t="s">
        <v>349</v>
      </c>
      <c r="B14" s="103">
        <v>0.5</v>
      </c>
      <c r="C14" s="104">
        <f>'DCF &amp; WACC'!B39</f>
        <v>15441.294779473761</v>
      </c>
      <c r="D14" s="68">
        <f>B14*C14</f>
        <v>7720.6473897368805</v>
      </c>
    </row>
    <row r="15" spans="1:6" ht="18" customHeight="1" x14ac:dyDescent="0.3">
      <c r="A15" s="105" t="s">
        <v>350</v>
      </c>
      <c r="B15" s="106">
        <v>0.25</v>
      </c>
      <c r="C15" s="75">
        <v>11234</v>
      </c>
      <c r="D15" s="75">
        <f>B15*C15</f>
        <v>2808.5</v>
      </c>
    </row>
    <row r="16" spans="1:6" ht="19.5" customHeight="1" x14ac:dyDescent="0.3">
      <c r="A16" s="89" t="s">
        <v>351</v>
      </c>
      <c r="B16" s="20"/>
      <c r="C16" s="20"/>
      <c r="D16" s="90">
        <f>D13+D14+D15</f>
        <v>16143.147389736881</v>
      </c>
    </row>
  </sheetData>
  <mergeCells count="2">
    <mergeCell ref="A1:F1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7"/>
  <sheetViews>
    <sheetView showGridLines="0" zoomScaleNormal="100" workbookViewId="0"/>
  </sheetViews>
  <sheetFormatPr defaultColWidth="8.6640625" defaultRowHeight="14.4" x14ac:dyDescent="0.3"/>
  <cols>
    <col min="1" max="1" width="32" customWidth="1"/>
    <col min="2" max="11" width="13" customWidth="1"/>
  </cols>
  <sheetData>
    <row r="1" spans="1:11" ht="30" customHeight="1" x14ac:dyDescent="0.3">
      <c r="A1" s="142" t="s">
        <v>352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</row>
    <row r="2" spans="1:11" ht="6" customHeight="1" x14ac:dyDescent="0.3"/>
    <row r="3" spans="1:11" ht="19.5" customHeight="1" x14ac:dyDescent="0.3">
      <c r="A3" s="18" t="s">
        <v>37</v>
      </c>
      <c r="B3" s="19" t="s">
        <v>38</v>
      </c>
      <c r="C3" s="19" t="s">
        <v>39</v>
      </c>
      <c r="D3" s="19" t="s">
        <v>40</v>
      </c>
      <c r="E3" s="19" t="s">
        <v>41</v>
      </c>
      <c r="F3" s="20" t="s">
        <v>42</v>
      </c>
      <c r="G3" s="21" t="s">
        <v>43</v>
      </c>
      <c r="H3" s="21" t="s">
        <v>44</v>
      </c>
      <c r="I3" s="21" t="s">
        <v>45</v>
      </c>
      <c r="J3" s="21" t="s">
        <v>46</v>
      </c>
      <c r="K3" s="21" t="s">
        <v>47</v>
      </c>
    </row>
    <row r="4" spans="1:11" ht="18" customHeight="1" x14ac:dyDescent="0.3">
      <c r="A4" s="143" t="s">
        <v>353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</row>
    <row r="5" spans="1:11" ht="16.5" customHeight="1" x14ac:dyDescent="0.3">
      <c r="A5" s="23" t="s">
        <v>354</v>
      </c>
      <c r="B5" s="25">
        <v>950</v>
      </c>
      <c r="C5" s="25">
        <v>1837</v>
      </c>
      <c r="D5" s="25">
        <v>2286</v>
      </c>
      <c r="E5" s="25">
        <v>2846</v>
      </c>
      <c r="F5" s="25">
        <v>3769</v>
      </c>
      <c r="G5" s="25">
        <v>4297</v>
      </c>
      <c r="H5" s="25">
        <v>4915</v>
      </c>
      <c r="I5" s="25">
        <v>5613</v>
      </c>
      <c r="J5" s="25">
        <v>6287</v>
      </c>
      <c r="K5" s="25">
        <v>6916</v>
      </c>
    </row>
    <row r="6" spans="1:11" ht="16.5" customHeight="1" x14ac:dyDescent="0.3">
      <c r="A6" s="26" t="s">
        <v>355</v>
      </c>
      <c r="B6" s="34" t="s">
        <v>51</v>
      </c>
      <c r="C6" s="43">
        <v>0.93400000000000005</v>
      </c>
      <c r="D6" s="43">
        <v>0.24399999999999999</v>
      </c>
      <c r="E6" s="43">
        <v>0.245</v>
      </c>
      <c r="F6" s="43">
        <v>0.32400000000000001</v>
      </c>
      <c r="G6" s="43">
        <v>0.14000000000000001</v>
      </c>
      <c r="H6" s="43">
        <v>0.14399999999999999</v>
      </c>
      <c r="I6" s="43">
        <v>0.14199999999999999</v>
      </c>
      <c r="J6" s="43">
        <v>0.11899999999999999</v>
      </c>
      <c r="K6" s="43">
        <v>0.1</v>
      </c>
    </row>
    <row r="7" spans="1:11" ht="16.5" customHeight="1" x14ac:dyDescent="0.3">
      <c r="A7" s="107" t="s">
        <v>356</v>
      </c>
      <c r="B7" s="34" t="s">
        <v>51</v>
      </c>
      <c r="C7" s="34" t="s">
        <v>51</v>
      </c>
      <c r="D7" s="34" t="s">
        <v>51</v>
      </c>
      <c r="E7" s="34" t="s">
        <v>51</v>
      </c>
      <c r="F7" s="108">
        <v>0.4113</v>
      </c>
      <c r="G7" s="34" t="s">
        <v>51</v>
      </c>
      <c r="H7" s="34" t="s">
        <v>51</v>
      </c>
      <c r="I7" s="34" t="s">
        <v>51</v>
      </c>
      <c r="J7" s="34" t="s">
        <v>51</v>
      </c>
      <c r="K7" s="34" t="s">
        <v>51</v>
      </c>
    </row>
    <row r="8" spans="1:11" ht="16.5" customHeight="1" x14ac:dyDescent="0.3">
      <c r="A8" s="107" t="s">
        <v>357</v>
      </c>
      <c r="B8" s="34" t="s">
        <v>51</v>
      </c>
      <c r="C8" s="34" t="s">
        <v>51</v>
      </c>
      <c r="D8" s="34" t="s">
        <v>51</v>
      </c>
      <c r="E8" s="34" t="s">
        <v>51</v>
      </c>
      <c r="F8" s="34" t="s">
        <v>51</v>
      </c>
      <c r="G8" s="34" t="s">
        <v>51</v>
      </c>
      <c r="H8" s="34" t="s">
        <v>51</v>
      </c>
      <c r="I8" s="34" t="s">
        <v>51</v>
      </c>
      <c r="J8" s="34" t="s">
        <v>51</v>
      </c>
      <c r="K8" s="108">
        <v>0.247</v>
      </c>
    </row>
    <row r="10" spans="1:11" ht="18" customHeight="1" x14ac:dyDescent="0.3">
      <c r="A10" s="143" t="s">
        <v>358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</row>
    <row r="11" spans="1:11" ht="16.5" customHeight="1" x14ac:dyDescent="0.3">
      <c r="A11" s="23" t="s">
        <v>359</v>
      </c>
      <c r="B11" s="109">
        <v>3.5</v>
      </c>
      <c r="C11" s="109">
        <v>5.5</v>
      </c>
      <c r="D11" s="109">
        <v>7</v>
      </c>
      <c r="E11" s="109">
        <v>17</v>
      </c>
      <c r="F11" s="109">
        <v>21</v>
      </c>
      <c r="G11" s="110">
        <v>25</v>
      </c>
      <c r="H11" s="110">
        <v>30</v>
      </c>
      <c r="I11" s="110">
        <v>35</v>
      </c>
      <c r="J11" s="110">
        <v>40</v>
      </c>
      <c r="K11" s="110">
        <v>44</v>
      </c>
    </row>
    <row r="12" spans="1:11" ht="16.5" customHeight="1" x14ac:dyDescent="0.3">
      <c r="A12" s="26" t="s">
        <v>360</v>
      </c>
      <c r="B12" s="34" t="s">
        <v>51</v>
      </c>
      <c r="C12" s="111">
        <v>2</v>
      </c>
      <c r="D12" s="111">
        <v>1.5</v>
      </c>
      <c r="E12" s="111">
        <v>10</v>
      </c>
      <c r="F12" s="111">
        <v>4</v>
      </c>
      <c r="G12" s="46">
        <v>4</v>
      </c>
      <c r="H12" s="46">
        <v>5</v>
      </c>
      <c r="I12" s="46">
        <v>5</v>
      </c>
      <c r="J12" s="46">
        <v>5</v>
      </c>
      <c r="K12" s="46">
        <v>4</v>
      </c>
    </row>
    <row r="13" spans="1:11" ht="16.5" customHeight="1" x14ac:dyDescent="0.3">
      <c r="A13" s="26" t="s">
        <v>361</v>
      </c>
      <c r="B13" s="34" t="s">
        <v>51</v>
      </c>
      <c r="C13" s="112">
        <v>0.57099999999999995</v>
      </c>
      <c r="D13" s="112">
        <v>0.27300000000000002</v>
      </c>
      <c r="E13" s="112">
        <v>1.429</v>
      </c>
      <c r="F13" s="112">
        <v>0.23499999999999999</v>
      </c>
      <c r="G13" s="48">
        <v>0.19</v>
      </c>
      <c r="H13" s="48">
        <v>0.2</v>
      </c>
      <c r="I13" s="48">
        <v>0.16700000000000001</v>
      </c>
      <c r="J13" s="48">
        <v>0.14299999999999999</v>
      </c>
      <c r="K13" s="48">
        <v>0.1</v>
      </c>
    </row>
    <row r="14" spans="1:11" ht="16.5" customHeight="1" x14ac:dyDescent="0.3">
      <c r="A14" s="26" t="s">
        <v>362</v>
      </c>
      <c r="B14" s="113">
        <v>27143</v>
      </c>
      <c r="C14" s="113">
        <v>33400</v>
      </c>
      <c r="D14" s="113">
        <v>32657</v>
      </c>
      <c r="E14" s="113">
        <v>16741</v>
      </c>
      <c r="F14" s="113">
        <v>17948</v>
      </c>
      <c r="G14" s="47">
        <v>17200</v>
      </c>
      <c r="H14" s="47">
        <v>16400</v>
      </c>
      <c r="I14" s="47">
        <v>16057</v>
      </c>
      <c r="J14" s="47">
        <v>15717</v>
      </c>
      <c r="K14" s="47">
        <v>15718</v>
      </c>
    </row>
    <row r="15" spans="1:11" ht="16.5" customHeight="1" x14ac:dyDescent="0.3">
      <c r="A15" s="23" t="s">
        <v>363</v>
      </c>
      <c r="B15" s="114">
        <v>2262</v>
      </c>
      <c r="C15" s="114">
        <v>2783</v>
      </c>
      <c r="D15" s="114">
        <v>2721</v>
      </c>
      <c r="E15" s="114">
        <v>1395</v>
      </c>
      <c r="F15" s="114">
        <v>1496</v>
      </c>
      <c r="G15" s="42">
        <v>1433</v>
      </c>
      <c r="H15" s="42">
        <v>1367</v>
      </c>
      <c r="I15" s="42">
        <v>1338</v>
      </c>
      <c r="J15" s="42">
        <v>1310</v>
      </c>
      <c r="K15" s="42">
        <v>1310</v>
      </c>
    </row>
    <row r="16" spans="1:11" ht="16.5" customHeight="1" x14ac:dyDescent="0.3">
      <c r="A16" s="26" t="s">
        <v>364</v>
      </c>
      <c r="B16" s="34" t="s">
        <v>51</v>
      </c>
      <c r="C16" s="112">
        <v>0.23</v>
      </c>
      <c r="D16" s="112">
        <v>-4.7E-2</v>
      </c>
      <c r="E16" s="112">
        <v>-0.47399999999999998</v>
      </c>
      <c r="F16" s="112">
        <v>0.09</v>
      </c>
      <c r="G16" s="48">
        <v>-4.2000000000000003E-2</v>
      </c>
      <c r="H16" s="48">
        <v>-4.5999999999999999E-2</v>
      </c>
      <c r="I16" s="48">
        <v>-2.1000000000000001E-2</v>
      </c>
      <c r="J16" s="48">
        <v>-2.1000000000000001E-2</v>
      </c>
      <c r="K16" s="48">
        <v>0</v>
      </c>
    </row>
    <row r="17" spans="1:11" ht="16.5" customHeight="1" x14ac:dyDescent="0.3">
      <c r="A17" s="26" t="s">
        <v>365</v>
      </c>
      <c r="B17" s="112">
        <v>8.5000000000000006E-2</v>
      </c>
      <c r="C17" s="112">
        <v>0.112</v>
      </c>
      <c r="D17" s="112">
        <v>0.14499999999999999</v>
      </c>
      <c r="E17" s="112">
        <v>0.17499999999999999</v>
      </c>
      <c r="F17" s="112">
        <v>0.19</v>
      </c>
      <c r="G17" s="48">
        <v>0.19500000000000001</v>
      </c>
      <c r="H17" s="48">
        <v>0.2</v>
      </c>
      <c r="I17" s="48">
        <v>0.20499999999999999</v>
      </c>
      <c r="J17" s="48">
        <v>0.21</v>
      </c>
      <c r="K17" s="48">
        <v>0.215</v>
      </c>
    </row>
    <row r="19" spans="1:11" ht="18" customHeight="1" x14ac:dyDescent="0.3">
      <c r="A19" s="143" t="s">
        <v>366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</row>
    <row r="20" spans="1:11" ht="21.75" customHeight="1" x14ac:dyDescent="0.3">
      <c r="A20" s="19" t="s">
        <v>367</v>
      </c>
      <c r="B20" s="19" t="s">
        <v>368</v>
      </c>
      <c r="C20" s="19" t="s">
        <v>38</v>
      </c>
      <c r="D20" s="19" t="s">
        <v>39</v>
      </c>
      <c r="E20" s="19" t="s">
        <v>40</v>
      </c>
      <c r="F20" s="19" t="s">
        <v>41</v>
      </c>
      <c r="G20" s="19" t="s">
        <v>42</v>
      </c>
      <c r="H20" s="19" t="s">
        <v>43</v>
      </c>
      <c r="I20" s="19" t="s">
        <v>44</v>
      </c>
      <c r="J20" s="19" t="s">
        <v>45</v>
      </c>
    </row>
    <row r="21" spans="1:11" ht="16.5" customHeight="1" x14ac:dyDescent="0.3">
      <c r="A21" s="15" t="s">
        <v>369</v>
      </c>
      <c r="B21" s="115" t="s">
        <v>370</v>
      </c>
      <c r="C21" s="78">
        <v>190</v>
      </c>
      <c r="D21" s="78">
        <v>294</v>
      </c>
      <c r="E21" s="78">
        <v>319</v>
      </c>
      <c r="F21" s="78">
        <v>512</v>
      </c>
      <c r="G21" s="78">
        <v>603</v>
      </c>
      <c r="H21" s="78">
        <v>645</v>
      </c>
      <c r="I21" s="78">
        <v>737</v>
      </c>
      <c r="J21" s="78">
        <v>843</v>
      </c>
    </row>
    <row r="22" spans="1:11" ht="16.5" customHeight="1" x14ac:dyDescent="0.3">
      <c r="A22" s="17" t="s">
        <v>371</v>
      </c>
      <c r="B22" s="115" t="s">
        <v>372</v>
      </c>
      <c r="C22" s="82">
        <v>285</v>
      </c>
      <c r="D22" s="82">
        <v>459</v>
      </c>
      <c r="E22" s="82">
        <v>548</v>
      </c>
      <c r="F22" s="82">
        <v>597</v>
      </c>
      <c r="G22" s="82">
        <v>678</v>
      </c>
      <c r="H22" s="82">
        <v>731</v>
      </c>
      <c r="I22" s="82">
        <v>836</v>
      </c>
      <c r="J22" s="82">
        <v>956</v>
      </c>
    </row>
    <row r="23" spans="1:11" ht="16.5" customHeight="1" x14ac:dyDescent="0.3">
      <c r="A23" s="15" t="s">
        <v>373</v>
      </c>
      <c r="B23" s="115" t="s">
        <v>374</v>
      </c>
      <c r="C23" s="78">
        <v>285</v>
      </c>
      <c r="D23" s="78">
        <v>551</v>
      </c>
      <c r="E23" s="78">
        <v>548</v>
      </c>
      <c r="F23" s="78">
        <v>398</v>
      </c>
      <c r="G23" s="78">
        <v>414</v>
      </c>
      <c r="H23" s="78">
        <v>430</v>
      </c>
      <c r="I23" s="78">
        <v>491</v>
      </c>
      <c r="J23" s="78">
        <v>562</v>
      </c>
    </row>
    <row r="24" spans="1:11" ht="16.5" customHeight="1" x14ac:dyDescent="0.3">
      <c r="A24" s="17" t="s">
        <v>375</v>
      </c>
      <c r="B24" s="115" t="s">
        <v>376</v>
      </c>
      <c r="C24" s="82">
        <v>190</v>
      </c>
      <c r="D24" s="82">
        <v>551</v>
      </c>
      <c r="E24" s="82">
        <v>813</v>
      </c>
      <c r="F24" s="82">
        <v>1230</v>
      </c>
      <c r="G24" s="82">
        <v>1849</v>
      </c>
      <c r="H24" s="82">
        <v>2279</v>
      </c>
      <c r="I24" s="82">
        <v>2605</v>
      </c>
      <c r="J24" s="82">
        <v>2977</v>
      </c>
    </row>
    <row r="25" spans="1:11" ht="16.5" customHeight="1" x14ac:dyDescent="0.3">
      <c r="A25" s="15" t="s">
        <v>377</v>
      </c>
      <c r="B25" s="115" t="s">
        <v>378</v>
      </c>
      <c r="C25" s="78">
        <v>0</v>
      </c>
      <c r="D25" s="78">
        <v>0</v>
      </c>
      <c r="E25" s="78">
        <v>0</v>
      </c>
      <c r="F25" s="78">
        <v>94</v>
      </c>
      <c r="G25" s="78">
        <v>225</v>
      </c>
      <c r="H25" s="78">
        <v>310</v>
      </c>
      <c r="I25" s="78">
        <v>430</v>
      </c>
      <c r="J25" s="78">
        <v>580</v>
      </c>
    </row>
    <row r="26" spans="1:11" ht="16.5" customHeight="1" x14ac:dyDescent="0.3">
      <c r="A26" s="89" t="s">
        <v>379</v>
      </c>
      <c r="B26" s="116" t="s">
        <v>380</v>
      </c>
      <c r="C26" s="90">
        <v>950</v>
      </c>
      <c r="D26" s="90">
        <v>1855</v>
      </c>
      <c r="E26" s="90">
        <v>2228</v>
      </c>
      <c r="F26" s="90">
        <v>2831</v>
      </c>
      <c r="G26" s="90">
        <v>3769</v>
      </c>
      <c r="H26" s="90">
        <v>4395</v>
      </c>
      <c r="I26" s="90">
        <v>5099</v>
      </c>
      <c r="J26" s="90">
        <v>5918</v>
      </c>
    </row>
    <row r="28" spans="1:11" ht="18" customHeight="1" x14ac:dyDescent="0.3">
      <c r="A28" s="143" t="s">
        <v>381</v>
      </c>
      <c r="B28" s="143"/>
      <c r="C28" s="143"/>
      <c r="D28" s="143"/>
      <c r="E28" s="143"/>
      <c r="F28" s="143"/>
      <c r="G28" s="143"/>
      <c r="H28" s="143"/>
      <c r="I28" s="143"/>
      <c r="J28" s="143"/>
      <c r="K28" s="143"/>
    </row>
    <row r="29" spans="1:11" ht="19.5" customHeight="1" x14ac:dyDescent="0.3">
      <c r="A29" s="19" t="s">
        <v>382</v>
      </c>
      <c r="B29" s="19" t="s">
        <v>38</v>
      </c>
      <c r="C29" s="19" t="s">
        <v>39</v>
      </c>
      <c r="D29" s="19" t="s">
        <v>40</v>
      </c>
      <c r="E29" s="19" t="s">
        <v>41</v>
      </c>
      <c r="F29" s="20" t="s">
        <v>42</v>
      </c>
      <c r="G29" s="21" t="s">
        <v>43</v>
      </c>
      <c r="H29" s="21" t="s">
        <v>44</v>
      </c>
      <c r="I29" s="21" t="s">
        <v>45</v>
      </c>
      <c r="J29" s="21" t="s">
        <v>46</v>
      </c>
      <c r="K29" s="21" t="s">
        <v>47</v>
      </c>
    </row>
    <row r="30" spans="1:11" ht="16.5" customHeight="1" x14ac:dyDescent="0.3">
      <c r="A30" s="77" t="s">
        <v>383</v>
      </c>
      <c r="B30" s="78">
        <v>361</v>
      </c>
      <c r="C30" s="78">
        <v>699</v>
      </c>
      <c r="D30" s="78">
        <v>870</v>
      </c>
      <c r="E30" s="78">
        <v>1081</v>
      </c>
      <c r="F30" s="78">
        <v>1432</v>
      </c>
      <c r="G30" s="78">
        <v>1633</v>
      </c>
      <c r="H30" s="78">
        <v>1868</v>
      </c>
      <c r="I30" s="78">
        <v>2133</v>
      </c>
      <c r="J30" s="78">
        <v>2389</v>
      </c>
      <c r="K30" s="78">
        <v>2628</v>
      </c>
    </row>
    <row r="31" spans="1:11" ht="16.5" customHeight="1" x14ac:dyDescent="0.3">
      <c r="A31" s="81" t="s">
        <v>384</v>
      </c>
      <c r="B31" s="82">
        <v>428</v>
      </c>
      <c r="C31" s="82">
        <v>826</v>
      </c>
      <c r="D31" s="82">
        <v>1029</v>
      </c>
      <c r="E31" s="82">
        <v>1281</v>
      </c>
      <c r="F31" s="82">
        <v>1697</v>
      </c>
      <c r="G31" s="82">
        <v>1934</v>
      </c>
      <c r="H31" s="82">
        <v>2212</v>
      </c>
      <c r="I31" s="82">
        <v>2527</v>
      </c>
      <c r="J31" s="82">
        <v>2830</v>
      </c>
      <c r="K31" s="82">
        <v>3112</v>
      </c>
    </row>
    <row r="32" spans="1:11" ht="16.5" customHeight="1" x14ac:dyDescent="0.3">
      <c r="A32" s="77" t="s">
        <v>385</v>
      </c>
      <c r="B32" s="78">
        <v>190</v>
      </c>
      <c r="C32" s="78">
        <v>276</v>
      </c>
      <c r="D32" s="78">
        <v>343</v>
      </c>
      <c r="E32" s="78">
        <v>427</v>
      </c>
      <c r="F32" s="78">
        <v>565</v>
      </c>
      <c r="G32" s="78">
        <v>644</v>
      </c>
      <c r="H32" s="78">
        <v>735</v>
      </c>
      <c r="I32" s="78">
        <v>840</v>
      </c>
      <c r="J32" s="78">
        <v>941</v>
      </c>
      <c r="K32" s="78">
        <v>1038</v>
      </c>
    </row>
    <row r="33" spans="1:11" ht="16.5" customHeight="1" x14ac:dyDescent="0.3">
      <c r="A33" s="81" t="s">
        <v>386</v>
      </c>
      <c r="B33" s="82">
        <v>0</v>
      </c>
      <c r="C33" s="82">
        <v>0</v>
      </c>
      <c r="D33" s="82">
        <v>0</v>
      </c>
      <c r="E33" s="82">
        <v>0</v>
      </c>
      <c r="F33" s="82">
        <v>0</v>
      </c>
      <c r="G33" s="82">
        <v>0</v>
      </c>
      <c r="H33" s="82">
        <v>0</v>
      </c>
      <c r="I33" s="82">
        <v>0</v>
      </c>
      <c r="J33" s="82">
        <v>0</v>
      </c>
      <c r="K33" s="82">
        <v>0</v>
      </c>
    </row>
    <row r="34" spans="1:11" ht="16.5" customHeight="1" x14ac:dyDescent="0.3">
      <c r="A34" s="89" t="s">
        <v>387</v>
      </c>
      <c r="B34" s="90">
        <v>950</v>
      </c>
      <c r="C34" s="90">
        <v>1837</v>
      </c>
      <c r="D34" s="90">
        <v>2286</v>
      </c>
      <c r="E34" s="90">
        <v>2846</v>
      </c>
      <c r="F34" s="90">
        <v>3769</v>
      </c>
      <c r="G34" s="90">
        <v>4297</v>
      </c>
      <c r="H34" s="90">
        <v>4915</v>
      </c>
      <c r="I34" s="90">
        <v>5613</v>
      </c>
      <c r="J34" s="90">
        <v>6287</v>
      </c>
      <c r="K34" s="90">
        <v>6916</v>
      </c>
    </row>
    <row r="36" spans="1:11" ht="18" customHeight="1" x14ac:dyDescent="0.3">
      <c r="A36" s="143" t="s">
        <v>388</v>
      </c>
      <c r="B36" s="143"/>
      <c r="C36" s="143"/>
      <c r="D36" s="143"/>
      <c r="E36" s="143"/>
      <c r="F36" s="143"/>
    </row>
    <row r="37" spans="1:11" ht="19.5" customHeight="1" x14ac:dyDescent="0.3">
      <c r="A37" s="19" t="s">
        <v>389</v>
      </c>
      <c r="B37" s="19" t="s">
        <v>195</v>
      </c>
      <c r="C37" s="19" t="s">
        <v>390</v>
      </c>
      <c r="D37" s="19" t="s">
        <v>391</v>
      </c>
      <c r="E37" s="19" t="s">
        <v>392</v>
      </c>
    </row>
    <row r="38" spans="1:11" ht="16.5" customHeight="1" x14ac:dyDescent="0.3">
      <c r="A38" s="76" t="s">
        <v>38</v>
      </c>
      <c r="B38" s="78">
        <v>950</v>
      </c>
      <c r="C38" s="117" t="s">
        <v>51</v>
      </c>
      <c r="D38" s="117" t="s">
        <v>51</v>
      </c>
      <c r="E38" s="77" t="s">
        <v>393</v>
      </c>
    </row>
    <row r="39" spans="1:11" ht="16.5" customHeight="1" x14ac:dyDescent="0.3">
      <c r="A39" s="80" t="s">
        <v>39</v>
      </c>
      <c r="B39" s="82">
        <v>1837</v>
      </c>
      <c r="C39" s="118">
        <v>0.93400000000000005</v>
      </c>
      <c r="D39" s="118" t="s">
        <v>51</v>
      </c>
      <c r="E39" s="81" t="s">
        <v>394</v>
      </c>
    </row>
    <row r="40" spans="1:11" ht="16.5" customHeight="1" x14ac:dyDescent="0.3">
      <c r="A40" s="76" t="s">
        <v>40</v>
      </c>
      <c r="B40" s="78">
        <v>2286</v>
      </c>
      <c r="C40" s="117">
        <v>0.24399999999999999</v>
      </c>
      <c r="D40" s="117" t="s">
        <v>51</v>
      </c>
      <c r="E40" s="77" t="s">
        <v>395</v>
      </c>
    </row>
    <row r="41" spans="1:11" ht="16.5" customHeight="1" x14ac:dyDescent="0.3">
      <c r="A41" s="80" t="s">
        <v>41</v>
      </c>
      <c r="B41" s="82">
        <v>2846</v>
      </c>
      <c r="C41" s="118">
        <v>0.245</v>
      </c>
      <c r="D41" s="118" t="s">
        <v>51</v>
      </c>
      <c r="E41" s="81" t="s">
        <v>396</v>
      </c>
    </row>
    <row r="42" spans="1:11" ht="16.5" customHeight="1" x14ac:dyDescent="0.3">
      <c r="A42" s="84" t="s">
        <v>42</v>
      </c>
      <c r="B42" s="72">
        <v>3769</v>
      </c>
      <c r="C42" s="119">
        <v>0.32400000000000001</v>
      </c>
      <c r="D42" s="119">
        <v>0.4113</v>
      </c>
      <c r="E42" s="85" t="s">
        <v>397</v>
      </c>
    </row>
    <row r="43" spans="1:11" ht="16.5" customHeight="1" x14ac:dyDescent="0.3">
      <c r="A43" s="80" t="s">
        <v>43</v>
      </c>
      <c r="B43" s="82">
        <v>4297</v>
      </c>
      <c r="C43" s="118">
        <v>0.14000000000000001</v>
      </c>
      <c r="D43" s="118" t="s">
        <v>51</v>
      </c>
      <c r="E43" s="81" t="s">
        <v>398</v>
      </c>
    </row>
    <row r="44" spans="1:11" ht="16.5" customHeight="1" x14ac:dyDescent="0.3">
      <c r="A44" s="76" t="s">
        <v>44</v>
      </c>
      <c r="B44" s="78">
        <v>4915</v>
      </c>
      <c r="C44" s="117">
        <v>0.14399999999999999</v>
      </c>
      <c r="D44" s="117" t="s">
        <v>51</v>
      </c>
      <c r="E44" s="77" t="s">
        <v>399</v>
      </c>
    </row>
    <row r="45" spans="1:11" ht="16.5" customHeight="1" x14ac:dyDescent="0.3">
      <c r="A45" s="80" t="s">
        <v>45</v>
      </c>
      <c r="B45" s="82">
        <v>5613</v>
      </c>
      <c r="C45" s="118">
        <v>0.14199999999999999</v>
      </c>
      <c r="D45" s="118" t="s">
        <v>51</v>
      </c>
      <c r="E45" s="81" t="s">
        <v>400</v>
      </c>
    </row>
    <row r="46" spans="1:11" ht="16.5" customHeight="1" x14ac:dyDescent="0.3">
      <c r="A46" s="76" t="s">
        <v>46</v>
      </c>
      <c r="B46" s="78">
        <v>6287</v>
      </c>
      <c r="C46" s="117">
        <v>0.11899999999999999</v>
      </c>
      <c r="D46" s="117" t="s">
        <v>51</v>
      </c>
      <c r="E46" s="77" t="s">
        <v>401</v>
      </c>
    </row>
    <row r="47" spans="1:11" ht="16.5" customHeight="1" x14ac:dyDescent="0.3">
      <c r="A47" s="80" t="s">
        <v>47</v>
      </c>
      <c r="B47" s="82">
        <v>6916</v>
      </c>
      <c r="C47" s="118">
        <v>0.1</v>
      </c>
      <c r="D47" s="118">
        <v>0.247</v>
      </c>
      <c r="E47" s="81" t="s">
        <v>402</v>
      </c>
    </row>
  </sheetData>
  <mergeCells count="6">
    <mergeCell ref="A36:F36"/>
    <mergeCell ref="A1:K1"/>
    <mergeCell ref="A4:K4"/>
    <mergeCell ref="A10:K10"/>
    <mergeCell ref="A19:K19"/>
    <mergeCell ref="A28:K28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0"/>
  <sheetViews>
    <sheetView showGridLines="0" zoomScaleNormal="100" workbookViewId="0"/>
  </sheetViews>
  <sheetFormatPr defaultColWidth="8.6640625" defaultRowHeight="14.4" x14ac:dyDescent="0.3"/>
  <cols>
    <col min="1" max="1" width="32" customWidth="1"/>
    <col min="2" max="11" width="13" customWidth="1"/>
  </cols>
  <sheetData>
    <row r="1" spans="1:11" ht="30" customHeight="1" x14ac:dyDescent="0.3">
      <c r="A1" s="142" t="s">
        <v>403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</row>
    <row r="2" spans="1:11" ht="6" customHeight="1" x14ac:dyDescent="0.3"/>
    <row r="3" spans="1:11" ht="19.5" customHeight="1" x14ac:dyDescent="0.3">
      <c r="A3" s="18" t="s">
        <v>37</v>
      </c>
      <c r="B3" s="19" t="s">
        <v>38</v>
      </c>
      <c r="C3" s="19" t="s">
        <v>39</v>
      </c>
      <c r="D3" s="19" t="s">
        <v>40</v>
      </c>
      <c r="E3" s="19" t="s">
        <v>41</v>
      </c>
      <c r="F3" s="20" t="s">
        <v>42</v>
      </c>
      <c r="G3" s="21" t="s">
        <v>43</v>
      </c>
      <c r="H3" s="21" t="s">
        <v>44</v>
      </c>
      <c r="I3" s="21" t="s">
        <v>45</v>
      </c>
      <c r="J3" s="21" t="s">
        <v>46</v>
      </c>
      <c r="K3" s="21" t="s">
        <v>47</v>
      </c>
    </row>
    <row r="4" spans="1:11" ht="18" customHeight="1" x14ac:dyDescent="0.3">
      <c r="A4" s="143" t="s">
        <v>404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</row>
    <row r="5" spans="1:11" ht="19.5" customHeight="1" x14ac:dyDescent="0.3">
      <c r="A5" s="19" t="s">
        <v>405</v>
      </c>
      <c r="B5" s="19" t="s">
        <v>38</v>
      </c>
      <c r="C5" s="19" t="s">
        <v>39</v>
      </c>
      <c r="D5" s="19" t="s">
        <v>40</v>
      </c>
      <c r="E5" s="19" t="s">
        <v>41</v>
      </c>
      <c r="F5" s="20" t="s">
        <v>42</v>
      </c>
      <c r="G5" s="21" t="s">
        <v>43</v>
      </c>
      <c r="H5" s="21" t="s">
        <v>44</v>
      </c>
      <c r="I5" s="21" t="s">
        <v>45</v>
      </c>
      <c r="J5" s="21" t="s">
        <v>46</v>
      </c>
      <c r="K5" s="21" t="s">
        <v>47</v>
      </c>
    </row>
    <row r="6" spans="1:11" ht="16.5" customHeight="1" x14ac:dyDescent="0.3">
      <c r="A6" s="26" t="s">
        <v>101</v>
      </c>
      <c r="B6" s="113">
        <v>550</v>
      </c>
      <c r="C6" s="113">
        <v>1055</v>
      </c>
      <c r="D6" s="113">
        <v>1280</v>
      </c>
      <c r="E6" s="113">
        <v>1540</v>
      </c>
      <c r="F6" s="113">
        <v>1980</v>
      </c>
      <c r="G6" s="44">
        <v>2214</v>
      </c>
      <c r="H6" s="44">
        <v>2499</v>
      </c>
      <c r="I6" s="44">
        <v>2787</v>
      </c>
      <c r="J6" s="44">
        <v>3068</v>
      </c>
      <c r="K6" s="44">
        <v>3269</v>
      </c>
    </row>
    <row r="7" spans="1:11" ht="16.5" customHeight="1" x14ac:dyDescent="0.3">
      <c r="A7" s="26" t="s">
        <v>102</v>
      </c>
      <c r="B7" s="113">
        <v>50</v>
      </c>
      <c r="C7" s="113">
        <v>72</v>
      </c>
      <c r="D7" s="113">
        <v>90</v>
      </c>
      <c r="E7" s="113">
        <v>102</v>
      </c>
      <c r="F7" s="113">
        <v>125</v>
      </c>
      <c r="G7" s="44">
        <v>135</v>
      </c>
      <c r="H7" s="44">
        <v>152</v>
      </c>
      <c r="I7" s="44">
        <v>175</v>
      </c>
      <c r="J7" s="44">
        <v>200</v>
      </c>
      <c r="K7" s="44">
        <v>225</v>
      </c>
    </row>
    <row r="8" spans="1:11" ht="16.5" customHeight="1" x14ac:dyDescent="0.3">
      <c r="A8" s="23" t="s">
        <v>406</v>
      </c>
      <c r="B8" s="114">
        <v>600</v>
      </c>
      <c r="C8" s="114">
        <v>1127</v>
      </c>
      <c r="D8" s="114">
        <v>1370</v>
      </c>
      <c r="E8" s="114">
        <v>1642</v>
      </c>
      <c r="F8" s="114">
        <v>2105</v>
      </c>
      <c r="G8" s="25">
        <v>2349</v>
      </c>
      <c r="H8" s="25">
        <v>2651</v>
      </c>
      <c r="I8" s="25">
        <v>2962</v>
      </c>
      <c r="J8" s="25">
        <v>3268</v>
      </c>
      <c r="K8" s="25">
        <v>3494</v>
      </c>
    </row>
    <row r="9" spans="1:11" ht="16.5" customHeight="1" x14ac:dyDescent="0.3">
      <c r="A9" s="26" t="s">
        <v>407</v>
      </c>
      <c r="B9" s="43">
        <v>0.63157894736842102</v>
      </c>
      <c r="C9" s="43">
        <v>0.61350027218290704</v>
      </c>
      <c r="D9" s="43">
        <v>0.59930008748906405</v>
      </c>
      <c r="E9" s="43">
        <v>0.57695010541110303</v>
      </c>
      <c r="F9" s="43">
        <v>0.55850358185195004</v>
      </c>
      <c r="G9" s="43">
        <v>0.54666046078659503</v>
      </c>
      <c r="H9" s="43">
        <v>0.53936927772126098</v>
      </c>
      <c r="I9" s="43">
        <v>0.52770354534117203</v>
      </c>
      <c r="J9" s="43">
        <v>0.51980276761571498</v>
      </c>
      <c r="K9" s="43">
        <v>0.50520532099479498</v>
      </c>
    </row>
    <row r="10" spans="1:11" ht="16.5" customHeight="1" x14ac:dyDescent="0.3">
      <c r="A10" s="26" t="s">
        <v>408</v>
      </c>
      <c r="B10" s="43">
        <v>0.57894736842105299</v>
      </c>
      <c r="C10" s="43">
        <v>0.57430593358737103</v>
      </c>
      <c r="D10" s="43">
        <v>0.55993000874890597</v>
      </c>
      <c r="E10" s="43">
        <v>0.54111033028812405</v>
      </c>
      <c r="F10" s="43">
        <v>0.52533828601751098</v>
      </c>
      <c r="G10" s="43">
        <v>0.51524319292529697</v>
      </c>
      <c r="H10" s="43">
        <v>0.508443540183113</v>
      </c>
      <c r="I10" s="43">
        <v>0.49652592196686302</v>
      </c>
      <c r="J10" s="43">
        <v>0.48799109273103197</v>
      </c>
      <c r="K10" s="43">
        <v>0.47267206477732798</v>
      </c>
    </row>
    <row r="11" spans="1:11" ht="16.5" customHeight="1" x14ac:dyDescent="0.3">
      <c r="A11" s="26" t="s">
        <v>409</v>
      </c>
      <c r="B11" s="43">
        <v>5.2631578947368397E-2</v>
      </c>
      <c r="C11" s="43">
        <v>3.9194338595536199E-2</v>
      </c>
      <c r="D11" s="43">
        <v>3.9370078740157501E-2</v>
      </c>
      <c r="E11" s="43">
        <v>3.5839775122979603E-2</v>
      </c>
      <c r="F11" s="43">
        <v>3.31652958344388E-2</v>
      </c>
      <c r="G11" s="43">
        <v>3.1417267861298601E-2</v>
      </c>
      <c r="H11" s="43">
        <v>3.09257375381485E-2</v>
      </c>
      <c r="I11" s="43">
        <v>3.1177623374309599E-2</v>
      </c>
      <c r="J11" s="43">
        <v>3.18116748846827E-2</v>
      </c>
      <c r="K11" s="43">
        <v>3.2533256217466701E-2</v>
      </c>
    </row>
    <row r="13" spans="1:11" ht="18" customHeight="1" x14ac:dyDescent="0.3">
      <c r="A13" s="143" t="s">
        <v>410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</row>
    <row r="14" spans="1:11" ht="19.5" customHeight="1" x14ac:dyDescent="0.3">
      <c r="A14" s="19" t="s">
        <v>411</v>
      </c>
      <c r="B14" s="19" t="s">
        <v>38</v>
      </c>
      <c r="C14" s="19" t="s">
        <v>39</v>
      </c>
      <c r="D14" s="19" t="s">
        <v>40</v>
      </c>
      <c r="E14" s="19" t="s">
        <v>41</v>
      </c>
      <c r="F14" s="20" t="s">
        <v>42</v>
      </c>
      <c r="G14" s="21" t="s">
        <v>43</v>
      </c>
      <c r="H14" s="21" t="s">
        <v>44</v>
      </c>
      <c r="I14" s="21" t="s">
        <v>45</v>
      </c>
      <c r="J14" s="21" t="s">
        <v>46</v>
      </c>
      <c r="K14" s="21" t="s">
        <v>47</v>
      </c>
    </row>
    <row r="15" spans="1:11" ht="16.5" customHeight="1" x14ac:dyDescent="0.3">
      <c r="A15" s="26" t="s">
        <v>412</v>
      </c>
      <c r="B15" s="113">
        <v>190</v>
      </c>
      <c r="C15" s="113">
        <v>370</v>
      </c>
      <c r="D15" s="113">
        <v>465</v>
      </c>
      <c r="E15" s="113">
        <v>565</v>
      </c>
      <c r="F15" s="113">
        <v>682</v>
      </c>
      <c r="G15" s="44">
        <v>720</v>
      </c>
      <c r="H15" s="44">
        <v>795</v>
      </c>
      <c r="I15" s="44">
        <v>860</v>
      </c>
      <c r="J15" s="44">
        <v>920</v>
      </c>
      <c r="K15" s="44">
        <v>980</v>
      </c>
    </row>
    <row r="16" spans="1:11" ht="16.5" customHeight="1" x14ac:dyDescent="0.3">
      <c r="A16" s="26" t="s">
        <v>413</v>
      </c>
      <c r="B16" s="43">
        <v>0.2</v>
      </c>
      <c r="C16" s="43">
        <v>0.20141535111594999</v>
      </c>
      <c r="D16" s="43">
        <v>0.203412073490814</v>
      </c>
      <c r="E16" s="43">
        <v>0.19852424455376</v>
      </c>
      <c r="F16" s="43">
        <v>0.18094985407269801</v>
      </c>
      <c r="G16" s="43">
        <v>0.16755876192692601</v>
      </c>
      <c r="H16" s="43">
        <v>0.16174974567650099</v>
      </c>
      <c r="I16" s="43">
        <v>0.15321574915375</v>
      </c>
      <c r="J16" s="43">
        <v>0.14633370446954</v>
      </c>
      <c r="K16" s="43">
        <v>0.14170040485829999</v>
      </c>
    </row>
    <row r="17" spans="1:11" ht="16.5" customHeight="1" x14ac:dyDescent="0.3">
      <c r="A17" s="26" t="s">
        <v>414</v>
      </c>
      <c r="B17" s="113">
        <v>60</v>
      </c>
      <c r="C17" s="113">
        <v>98</v>
      </c>
      <c r="D17" s="113">
        <v>112</v>
      </c>
      <c r="E17" s="113">
        <v>129</v>
      </c>
      <c r="F17" s="113">
        <v>152</v>
      </c>
      <c r="G17" s="44">
        <v>170</v>
      </c>
      <c r="H17" s="44">
        <v>185</v>
      </c>
      <c r="I17" s="44">
        <v>210</v>
      </c>
      <c r="J17" s="44">
        <v>235</v>
      </c>
      <c r="K17" s="44">
        <v>260</v>
      </c>
    </row>
    <row r="18" spans="1:11" ht="16.5" customHeight="1" x14ac:dyDescent="0.3">
      <c r="A18" s="26" t="s">
        <v>415</v>
      </c>
      <c r="B18" s="43">
        <v>6.3157894736842093E-2</v>
      </c>
      <c r="C18" s="43">
        <v>5.3347849755035398E-2</v>
      </c>
      <c r="D18" s="43">
        <v>4.8993875765529299E-2</v>
      </c>
      <c r="E18" s="43">
        <v>4.5326774420238899E-2</v>
      </c>
      <c r="F18" s="43">
        <v>4.0328999734677601E-2</v>
      </c>
      <c r="G18" s="43">
        <v>3.9562485454968599E-2</v>
      </c>
      <c r="H18" s="43">
        <v>3.7639877924720302E-2</v>
      </c>
      <c r="I18" s="43">
        <v>3.7413148049171598E-2</v>
      </c>
      <c r="J18" s="43">
        <v>3.7378717989502201E-2</v>
      </c>
      <c r="K18" s="43">
        <v>3.7593984962405999E-2</v>
      </c>
    </row>
    <row r="19" spans="1:11" ht="16.5" customHeight="1" x14ac:dyDescent="0.3">
      <c r="A19" s="26" t="s">
        <v>416</v>
      </c>
      <c r="B19" s="113">
        <v>52</v>
      </c>
      <c r="C19" s="113">
        <v>99</v>
      </c>
      <c r="D19" s="113">
        <v>140</v>
      </c>
      <c r="E19" s="113">
        <v>178</v>
      </c>
      <c r="F19" s="113">
        <v>219</v>
      </c>
      <c r="G19" s="44">
        <v>245</v>
      </c>
      <c r="H19" s="44">
        <v>263</v>
      </c>
      <c r="I19" s="44">
        <v>280</v>
      </c>
      <c r="J19" s="44">
        <v>300</v>
      </c>
      <c r="K19" s="44">
        <v>320</v>
      </c>
    </row>
    <row r="20" spans="1:11" ht="16.5" customHeight="1" x14ac:dyDescent="0.3">
      <c r="A20" s="26" t="s">
        <v>417</v>
      </c>
      <c r="B20" s="43">
        <v>5.4736842105263202E-2</v>
      </c>
      <c r="C20" s="43">
        <v>5.3892215568862298E-2</v>
      </c>
      <c r="D20" s="43">
        <v>6.1242344706911603E-2</v>
      </c>
      <c r="E20" s="43">
        <v>6.2543921293042898E-2</v>
      </c>
      <c r="F20" s="43">
        <v>5.81055983019369E-2</v>
      </c>
      <c r="G20" s="43">
        <v>5.7016523155690002E-2</v>
      </c>
      <c r="H20" s="43">
        <v>5.3509664292980701E-2</v>
      </c>
      <c r="I20" s="43">
        <v>4.9884197398895401E-2</v>
      </c>
      <c r="J20" s="43">
        <v>4.7717512327024002E-2</v>
      </c>
      <c r="K20" s="43">
        <v>4.6269519953730499E-2</v>
      </c>
    </row>
    <row r="21" spans="1:11" ht="16.5" customHeight="1" x14ac:dyDescent="0.3">
      <c r="A21" s="23" t="s">
        <v>418</v>
      </c>
      <c r="B21" s="114">
        <v>302</v>
      </c>
      <c r="C21" s="114">
        <v>567</v>
      </c>
      <c r="D21" s="114">
        <v>717</v>
      </c>
      <c r="E21" s="114">
        <v>872</v>
      </c>
      <c r="F21" s="114">
        <v>1053</v>
      </c>
      <c r="G21" s="25">
        <v>1135</v>
      </c>
      <c r="H21" s="25">
        <v>1243</v>
      </c>
      <c r="I21" s="25">
        <v>1350</v>
      </c>
      <c r="J21" s="25">
        <v>1455</v>
      </c>
      <c r="K21" s="25">
        <v>1560</v>
      </c>
    </row>
    <row r="22" spans="1:11" ht="16.5" customHeight="1" x14ac:dyDescent="0.3">
      <c r="A22" s="26" t="s">
        <v>419</v>
      </c>
      <c r="B22" s="43">
        <v>0.31789473684210501</v>
      </c>
      <c r="C22" s="43">
        <v>0.30865541643984801</v>
      </c>
      <c r="D22" s="43">
        <v>0.313648293963255</v>
      </c>
      <c r="E22" s="43">
        <v>0.306394940267041</v>
      </c>
      <c r="F22" s="43">
        <v>0.27938445210931301</v>
      </c>
      <c r="G22" s="43">
        <v>0.26413777053758403</v>
      </c>
      <c r="H22" s="43">
        <v>0.25289928789420102</v>
      </c>
      <c r="I22" s="43">
        <v>0.240513094601817</v>
      </c>
      <c r="J22" s="43">
        <v>0.23142993478606699</v>
      </c>
      <c r="K22" s="43">
        <v>0.22556390977443599</v>
      </c>
    </row>
    <row r="24" spans="1:11" ht="18" customHeight="1" x14ac:dyDescent="0.3">
      <c r="A24" s="143" t="s">
        <v>420</v>
      </c>
      <c r="B24" s="143"/>
      <c r="C24" s="143"/>
      <c r="D24" s="143"/>
      <c r="E24" s="143"/>
      <c r="F24" s="143"/>
      <c r="G24" s="143"/>
      <c r="H24" s="143"/>
      <c r="I24" s="143"/>
      <c r="J24" s="143"/>
      <c r="K24" s="143"/>
    </row>
    <row r="25" spans="1:11" ht="19.5" customHeight="1" x14ac:dyDescent="0.3">
      <c r="A25" s="19" t="s">
        <v>421</v>
      </c>
      <c r="B25" s="19" t="s">
        <v>38</v>
      </c>
      <c r="C25" s="19" t="s">
        <v>39</v>
      </c>
      <c r="D25" s="19" t="s">
        <v>40</v>
      </c>
      <c r="E25" s="19" t="s">
        <v>41</v>
      </c>
      <c r="F25" s="20" t="s">
        <v>42</v>
      </c>
      <c r="G25" s="21" t="s">
        <v>43</v>
      </c>
      <c r="H25" s="21" t="s">
        <v>44</v>
      </c>
      <c r="I25" s="21" t="s">
        <v>45</v>
      </c>
      <c r="J25" s="21" t="s">
        <v>46</v>
      </c>
      <c r="K25" s="21" t="s">
        <v>47</v>
      </c>
    </row>
    <row r="26" spans="1:11" ht="16.5" customHeight="1" x14ac:dyDescent="0.3">
      <c r="A26" s="54" t="s">
        <v>422</v>
      </c>
      <c r="B26" s="120">
        <v>1</v>
      </c>
      <c r="C26" s="120">
        <v>1</v>
      </c>
      <c r="D26" s="120">
        <v>1</v>
      </c>
      <c r="E26" s="120">
        <v>1</v>
      </c>
      <c r="F26" s="120">
        <v>1</v>
      </c>
      <c r="G26" s="120">
        <v>1</v>
      </c>
      <c r="H26" s="120">
        <v>1</v>
      </c>
      <c r="I26" s="120">
        <v>1</v>
      </c>
      <c r="J26" s="120">
        <v>1</v>
      </c>
      <c r="K26" s="120">
        <v>1</v>
      </c>
    </row>
    <row r="27" spans="1:11" ht="16.5" customHeight="1" x14ac:dyDescent="0.3">
      <c r="A27" s="26" t="s">
        <v>423</v>
      </c>
      <c r="B27" s="43">
        <v>0.57894736842105299</v>
      </c>
      <c r="C27" s="43">
        <v>0.57430593358737103</v>
      </c>
      <c r="D27" s="43">
        <v>0.55993000874890597</v>
      </c>
      <c r="E27" s="43">
        <v>0.54111033028812405</v>
      </c>
      <c r="F27" s="43">
        <v>0.52533828601751098</v>
      </c>
      <c r="G27" s="43">
        <v>0.51524319292529697</v>
      </c>
      <c r="H27" s="43">
        <v>0.508443540183113</v>
      </c>
      <c r="I27" s="43">
        <v>0.49652592196686302</v>
      </c>
      <c r="J27" s="43">
        <v>0.48799109273103197</v>
      </c>
      <c r="K27" s="43">
        <v>0.47267206477732798</v>
      </c>
    </row>
    <row r="28" spans="1:11" ht="16.5" customHeight="1" x14ac:dyDescent="0.3">
      <c r="A28" s="26" t="s">
        <v>424</v>
      </c>
      <c r="B28" s="43">
        <v>5.2631578947368397E-2</v>
      </c>
      <c r="C28" s="43">
        <v>3.9194338595536199E-2</v>
      </c>
      <c r="D28" s="43">
        <v>3.9370078740157501E-2</v>
      </c>
      <c r="E28" s="43">
        <v>3.5839775122979603E-2</v>
      </c>
      <c r="F28" s="43">
        <v>3.31652958344388E-2</v>
      </c>
      <c r="G28" s="43">
        <v>3.1417267861298601E-2</v>
      </c>
      <c r="H28" s="43">
        <v>3.09257375381485E-2</v>
      </c>
      <c r="I28" s="43">
        <v>3.1177623374309599E-2</v>
      </c>
      <c r="J28" s="43">
        <v>3.18116748846827E-2</v>
      </c>
      <c r="K28" s="43">
        <v>3.2533256217466701E-2</v>
      </c>
    </row>
    <row r="29" spans="1:11" ht="16.5" customHeight="1" x14ac:dyDescent="0.3">
      <c r="A29" s="23" t="s">
        <v>425</v>
      </c>
      <c r="B29" s="121">
        <v>0.497894736842105</v>
      </c>
      <c r="C29" s="121">
        <v>0.28143712574850299</v>
      </c>
      <c r="D29" s="121">
        <v>0.29790026246719198</v>
      </c>
      <c r="E29" s="121">
        <v>0.32009838369641602</v>
      </c>
      <c r="F29" s="121">
        <v>0.39798355001326602</v>
      </c>
      <c r="G29" s="121">
        <v>0.41005352571561599</v>
      </c>
      <c r="H29" s="121">
        <v>0.41993896236012201</v>
      </c>
      <c r="I29" s="121">
        <v>0.42508462497772997</v>
      </c>
      <c r="J29" s="121">
        <v>0.429934786066486</v>
      </c>
      <c r="K29" s="121">
        <v>0.43001735106998301</v>
      </c>
    </row>
    <row r="30" spans="1:11" ht="16.5" customHeight="1" x14ac:dyDescent="0.3">
      <c r="A30" s="26" t="s">
        <v>426</v>
      </c>
      <c r="B30" s="43">
        <v>0.2</v>
      </c>
      <c r="C30" s="43">
        <v>0.20141535111594999</v>
      </c>
      <c r="D30" s="43">
        <v>0.203412073490814</v>
      </c>
      <c r="E30" s="43">
        <v>0.19852424455376</v>
      </c>
      <c r="F30" s="43">
        <v>0.18094985407269801</v>
      </c>
      <c r="G30" s="43">
        <v>0.16755876192692601</v>
      </c>
      <c r="H30" s="43">
        <v>0.16174974567650099</v>
      </c>
      <c r="I30" s="43">
        <v>0.15321574915375</v>
      </c>
      <c r="J30" s="43">
        <v>0.14633370446954</v>
      </c>
      <c r="K30" s="43">
        <v>0.14170040485829999</v>
      </c>
    </row>
    <row r="31" spans="1:11" ht="16.5" customHeight="1" x14ac:dyDescent="0.3">
      <c r="A31" s="26" t="s">
        <v>427</v>
      </c>
      <c r="B31" s="43">
        <v>6.3157894736842093E-2</v>
      </c>
      <c r="C31" s="43">
        <v>5.3347849755035398E-2</v>
      </c>
      <c r="D31" s="43">
        <v>4.8993875765529299E-2</v>
      </c>
      <c r="E31" s="43">
        <v>4.5326774420238899E-2</v>
      </c>
      <c r="F31" s="43">
        <v>4.0328999734677601E-2</v>
      </c>
      <c r="G31" s="43">
        <v>3.9562485454968599E-2</v>
      </c>
      <c r="H31" s="43">
        <v>3.7639877924720302E-2</v>
      </c>
      <c r="I31" s="43">
        <v>3.7413148049171598E-2</v>
      </c>
      <c r="J31" s="43">
        <v>3.7378717989502201E-2</v>
      </c>
      <c r="K31" s="43">
        <v>3.7593984962405999E-2</v>
      </c>
    </row>
    <row r="32" spans="1:11" ht="16.5" customHeight="1" x14ac:dyDescent="0.3">
      <c r="A32" s="26" t="s">
        <v>428</v>
      </c>
      <c r="B32" s="43">
        <v>5.4736842105263202E-2</v>
      </c>
      <c r="C32" s="43">
        <v>5.3892215568862298E-2</v>
      </c>
      <c r="D32" s="43">
        <v>6.1242344706911603E-2</v>
      </c>
      <c r="E32" s="43">
        <v>6.2543921293042898E-2</v>
      </c>
      <c r="F32" s="43">
        <v>5.81055983019369E-2</v>
      </c>
      <c r="G32" s="43">
        <v>5.7016523155690002E-2</v>
      </c>
      <c r="H32" s="43">
        <v>5.3509664292980701E-2</v>
      </c>
      <c r="I32" s="43">
        <v>4.9884197398895401E-2</v>
      </c>
      <c r="J32" s="43">
        <v>4.7717512327024002E-2</v>
      </c>
      <c r="K32" s="43">
        <v>4.6269519953730499E-2</v>
      </c>
    </row>
    <row r="33" spans="1:11" ht="16.5" customHeight="1" x14ac:dyDescent="0.3">
      <c r="A33" s="23" t="s">
        <v>429</v>
      </c>
      <c r="B33" s="121">
        <v>0.497894736842105</v>
      </c>
      <c r="C33" s="121">
        <v>0.28143712574850299</v>
      </c>
      <c r="D33" s="121">
        <v>0.29790026246719198</v>
      </c>
      <c r="E33" s="121">
        <v>0.32009838369641602</v>
      </c>
      <c r="F33" s="121">
        <v>0.39798355001326602</v>
      </c>
      <c r="G33" s="121">
        <v>0.41005352571561599</v>
      </c>
      <c r="H33" s="121">
        <v>0.41993896236012201</v>
      </c>
      <c r="I33" s="121">
        <v>0.42508462497772997</v>
      </c>
      <c r="J33" s="121">
        <v>0.429934786066486</v>
      </c>
      <c r="K33" s="121">
        <v>0.43001735106998301</v>
      </c>
    </row>
    <row r="34" spans="1:11" ht="16.5" customHeight="1" x14ac:dyDescent="0.3">
      <c r="A34" s="26" t="s">
        <v>430</v>
      </c>
      <c r="B34" s="43">
        <v>0.48210526315789498</v>
      </c>
      <c r="C34" s="43">
        <v>0.25367446924333198</v>
      </c>
      <c r="D34" s="43">
        <v>0.25984251968503902</v>
      </c>
      <c r="E34" s="43">
        <v>0.24982431482782899</v>
      </c>
      <c r="F34" s="43">
        <v>0.29981427434332703</v>
      </c>
      <c r="G34" s="43">
        <v>0.29997672794973201</v>
      </c>
      <c r="H34" s="43">
        <v>0.29501525940996998</v>
      </c>
      <c r="I34" s="43">
        <v>0.29004097630500603</v>
      </c>
      <c r="J34" s="43">
        <v>0.28487354859233299</v>
      </c>
      <c r="K34" s="43">
        <v>0.28007518796992498</v>
      </c>
    </row>
    <row r="35" spans="1:11" ht="16.5" customHeight="1" x14ac:dyDescent="0.3">
      <c r="A35" s="23" t="s">
        <v>431</v>
      </c>
      <c r="B35" s="121">
        <v>1.5789473684210499E-2</v>
      </c>
      <c r="C35" s="121">
        <v>2.7762656505171499E-2</v>
      </c>
      <c r="D35" s="121">
        <v>3.8057742782152203E-2</v>
      </c>
      <c r="E35" s="121">
        <v>7.0274068868587503E-2</v>
      </c>
      <c r="F35" s="121">
        <v>9.8169275669938993E-2</v>
      </c>
      <c r="G35" s="121">
        <v>0.110076797765883</v>
      </c>
      <c r="H35" s="121">
        <v>0.124923702950153</v>
      </c>
      <c r="I35" s="121">
        <v>0.135043648672724</v>
      </c>
      <c r="J35" s="121">
        <v>0.145061237474153</v>
      </c>
      <c r="K35" s="121">
        <v>0.14994216310005801</v>
      </c>
    </row>
    <row r="36" spans="1:11" ht="16.5" customHeight="1" x14ac:dyDescent="0.3">
      <c r="A36" s="26" t="s">
        <v>432</v>
      </c>
      <c r="B36" s="43">
        <v>3.15789473684211E-3</v>
      </c>
      <c r="C36" s="43">
        <v>1.6875340228633601E-2</v>
      </c>
      <c r="D36" s="43">
        <v>2.2747156605424299E-2</v>
      </c>
      <c r="E36" s="43">
        <v>5.2002810962754699E-2</v>
      </c>
      <c r="F36" s="43">
        <v>7.5616874502520595E-2</v>
      </c>
      <c r="G36" s="43">
        <v>2.74610193158017E-2</v>
      </c>
      <c r="H36" s="43">
        <v>3.11291963377416E-2</v>
      </c>
      <c r="I36" s="43">
        <v>3.3849991092107602E-2</v>
      </c>
      <c r="J36" s="43">
        <v>3.62653093685383E-2</v>
      </c>
      <c r="K36" s="43">
        <v>3.74493927125506E-2</v>
      </c>
    </row>
    <row r="37" spans="1:11" ht="16.5" customHeight="1" x14ac:dyDescent="0.3">
      <c r="A37" s="39" t="s">
        <v>433</v>
      </c>
      <c r="B37" s="122">
        <v>1.26315789473684E-2</v>
      </c>
      <c r="C37" s="122">
        <v>1.0887316276537801E-2</v>
      </c>
      <c r="D37" s="122">
        <v>1.5310586176727901E-2</v>
      </c>
      <c r="E37" s="122">
        <v>1.82712579058328E-2</v>
      </c>
      <c r="F37" s="122">
        <v>2.2552401167418398E-2</v>
      </c>
      <c r="G37" s="122">
        <v>8.2615778450081501E-2</v>
      </c>
      <c r="H37" s="122">
        <v>9.3794506612410997E-2</v>
      </c>
      <c r="I37" s="122">
        <v>0.10119365758061601</v>
      </c>
      <c r="J37" s="122">
        <v>0.108795928105615</v>
      </c>
      <c r="K37" s="122">
        <v>0.112492770387507</v>
      </c>
    </row>
    <row r="39" spans="1:11" ht="18" customHeight="1" x14ac:dyDescent="0.3">
      <c r="A39" s="143" t="s">
        <v>434</v>
      </c>
      <c r="B39" s="143"/>
      <c r="C39" s="143"/>
      <c r="D39" s="143"/>
      <c r="E39" s="143"/>
      <c r="F39" s="143"/>
      <c r="G39" s="143"/>
    </row>
    <row r="40" spans="1:11" ht="21.75" customHeight="1" x14ac:dyDescent="0.3">
      <c r="A40" s="19" t="s">
        <v>435</v>
      </c>
      <c r="B40" s="19" t="s">
        <v>436</v>
      </c>
      <c r="C40" s="19" t="s">
        <v>437</v>
      </c>
      <c r="D40" s="19" t="s">
        <v>438</v>
      </c>
      <c r="E40" s="19" t="s">
        <v>439</v>
      </c>
      <c r="F40" s="19" t="s">
        <v>440</v>
      </c>
    </row>
    <row r="41" spans="1:11" ht="16.5" customHeight="1" x14ac:dyDescent="0.3">
      <c r="A41" s="87" t="s">
        <v>38</v>
      </c>
      <c r="B41" s="78">
        <v>18</v>
      </c>
      <c r="C41" s="78">
        <v>6</v>
      </c>
      <c r="D41" s="117">
        <v>0.33300000000000002</v>
      </c>
      <c r="E41" s="117">
        <v>0.77800000000000002</v>
      </c>
      <c r="F41" s="77" t="s">
        <v>441</v>
      </c>
    </row>
    <row r="42" spans="1:11" ht="16.5" customHeight="1" x14ac:dyDescent="0.3">
      <c r="A42" s="123" t="s">
        <v>39</v>
      </c>
      <c r="B42" s="124">
        <v>56</v>
      </c>
      <c r="C42" s="124">
        <v>36</v>
      </c>
      <c r="D42" s="125">
        <v>0.64300000000000002</v>
      </c>
      <c r="E42" s="126">
        <v>0.77800000000000002</v>
      </c>
      <c r="F42" s="127" t="s">
        <v>441</v>
      </c>
    </row>
    <row r="43" spans="1:11" ht="16.5" customHeight="1" x14ac:dyDescent="0.3">
      <c r="A43" s="123" t="s">
        <v>40</v>
      </c>
      <c r="B43" s="124">
        <v>94</v>
      </c>
      <c r="C43" s="124">
        <v>59</v>
      </c>
      <c r="D43" s="125">
        <v>0.628</v>
      </c>
      <c r="E43" s="126">
        <v>0.77800000000000002</v>
      </c>
      <c r="F43" s="127" t="s">
        <v>441</v>
      </c>
    </row>
    <row r="44" spans="1:11" ht="16.5" customHeight="1" x14ac:dyDescent="0.3">
      <c r="A44" s="123" t="s">
        <v>41</v>
      </c>
      <c r="B44" s="124">
        <v>210</v>
      </c>
      <c r="C44" s="124">
        <v>158</v>
      </c>
      <c r="D44" s="125">
        <v>0.752</v>
      </c>
      <c r="E44" s="126">
        <v>0.77800000000000002</v>
      </c>
      <c r="F44" s="127" t="s">
        <v>441</v>
      </c>
    </row>
    <row r="45" spans="1:11" ht="16.5" customHeight="1" x14ac:dyDescent="0.3">
      <c r="A45" s="123" t="s">
        <v>42</v>
      </c>
      <c r="B45" s="124">
        <v>383</v>
      </c>
      <c r="C45" s="124">
        <v>298</v>
      </c>
      <c r="D45" s="125">
        <v>0.77800000000000002</v>
      </c>
      <c r="E45" s="126">
        <v>0.77800000000000002</v>
      </c>
      <c r="F45" s="127" t="s">
        <v>441</v>
      </c>
    </row>
    <row r="46" spans="1:11" ht="16.5" customHeight="1" x14ac:dyDescent="0.3">
      <c r="A46" s="128" t="s">
        <v>43</v>
      </c>
      <c r="B46" s="67">
        <v>473</v>
      </c>
      <c r="C46" s="67">
        <v>118</v>
      </c>
      <c r="D46" s="108">
        <v>0.25</v>
      </c>
      <c r="E46" s="108">
        <v>0.25</v>
      </c>
      <c r="F46" s="100" t="s">
        <v>442</v>
      </c>
    </row>
    <row r="47" spans="1:11" ht="16.5" customHeight="1" x14ac:dyDescent="0.3">
      <c r="A47" s="128" t="s">
        <v>44</v>
      </c>
      <c r="B47" s="67">
        <v>614</v>
      </c>
      <c r="C47" s="67">
        <v>153</v>
      </c>
      <c r="D47" s="108">
        <v>0.25</v>
      </c>
      <c r="E47" s="108">
        <v>0.25</v>
      </c>
      <c r="F47" s="100" t="s">
        <v>442</v>
      </c>
    </row>
    <row r="48" spans="1:11" ht="16.5" customHeight="1" x14ac:dyDescent="0.3">
      <c r="A48" s="128" t="s">
        <v>45</v>
      </c>
      <c r="B48" s="67">
        <v>758</v>
      </c>
      <c r="C48" s="67">
        <v>190</v>
      </c>
      <c r="D48" s="108">
        <v>0.25</v>
      </c>
      <c r="E48" s="108">
        <v>0.25</v>
      </c>
      <c r="F48" s="100" t="s">
        <v>442</v>
      </c>
    </row>
    <row r="49" spans="1:6" ht="16.5" customHeight="1" x14ac:dyDescent="0.3">
      <c r="A49" s="128" t="s">
        <v>46</v>
      </c>
      <c r="B49" s="67">
        <v>912</v>
      </c>
      <c r="C49" s="67">
        <v>228</v>
      </c>
      <c r="D49" s="108">
        <v>0.25</v>
      </c>
      <c r="E49" s="108">
        <v>0.25</v>
      </c>
      <c r="F49" s="100" t="s">
        <v>442</v>
      </c>
    </row>
    <row r="50" spans="1:6" ht="16.5" customHeight="1" x14ac:dyDescent="0.3">
      <c r="A50" s="128" t="s">
        <v>47</v>
      </c>
      <c r="B50" s="67">
        <v>1037</v>
      </c>
      <c r="C50" s="67">
        <v>259</v>
      </c>
      <c r="D50" s="108">
        <v>0.25</v>
      </c>
      <c r="E50" s="108">
        <v>0.25</v>
      </c>
      <c r="F50" s="100" t="s">
        <v>442</v>
      </c>
    </row>
  </sheetData>
  <mergeCells count="5">
    <mergeCell ref="A1:K1"/>
    <mergeCell ref="A4:K4"/>
    <mergeCell ref="A13:K13"/>
    <mergeCell ref="A24:K24"/>
    <mergeCell ref="A39:G39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4"/>
  <sheetViews>
    <sheetView showGridLines="0" zoomScaleNormal="100" workbookViewId="0"/>
  </sheetViews>
  <sheetFormatPr defaultColWidth="8.6640625" defaultRowHeight="14.4" x14ac:dyDescent="0.3"/>
  <cols>
    <col min="1" max="1" width="30" customWidth="1"/>
    <col min="2" max="11" width="13" customWidth="1"/>
  </cols>
  <sheetData>
    <row r="1" spans="1:11" ht="30" customHeight="1" x14ac:dyDescent="0.3">
      <c r="A1" s="142" t="s">
        <v>443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</row>
    <row r="2" spans="1:11" ht="6" customHeight="1" x14ac:dyDescent="0.3"/>
    <row r="3" spans="1:11" ht="19.5" customHeight="1" x14ac:dyDescent="0.3">
      <c r="A3" s="18" t="s">
        <v>37</v>
      </c>
      <c r="B3" s="19" t="s">
        <v>38</v>
      </c>
      <c r="C3" s="19" t="s">
        <v>39</v>
      </c>
      <c r="D3" s="19" t="s">
        <v>40</v>
      </c>
      <c r="E3" s="19" t="s">
        <v>41</v>
      </c>
      <c r="F3" s="20" t="s">
        <v>42</v>
      </c>
      <c r="G3" s="21" t="s">
        <v>43</v>
      </c>
      <c r="H3" s="21" t="s">
        <v>44</v>
      </c>
      <c r="I3" s="21" t="s">
        <v>45</v>
      </c>
      <c r="J3" s="21" t="s">
        <v>46</v>
      </c>
      <c r="K3" s="21" t="s">
        <v>47</v>
      </c>
    </row>
    <row r="4" spans="1:11" ht="18" customHeight="1" x14ac:dyDescent="0.3">
      <c r="A4" s="143" t="s">
        <v>444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</row>
    <row r="5" spans="1:11" ht="21.75" customHeight="1" x14ac:dyDescent="0.3">
      <c r="A5" s="19"/>
      <c r="B5" s="19" t="s">
        <v>445</v>
      </c>
      <c r="C5" s="19" t="s">
        <v>446</v>
      </c>
      <c r="D5" s="19" t="s">
        <v>447</v>
      </c>
      <c r="E5" s="19" t="s">
        <v>448</v>
      </c>
      <c r="F5" s="19" t="s">
        <v>449</v>
      </c>
      <c r="G5" s="19" t="s">
        <v>450</v>
      </c>
      <c r="H5" s="19" t="s">
        <v>451</v>
      </c>
    </row>
    <row r="6" spans="1:11" ht="16.5" customHeight="1" x14ac:dyDescent="0.3">
      <c r="A6" s="87" t="s">
        <v>38</v>
      </c>
      <c r="B6" s="24">
        <v>140</v>
      </c>
      <c r="C6" s="24">
        <v>50</v>
      </c>
      <c r="D6" s="24">
        <v>30</v>
      </c>
      <c r="E6" s="24">
        <v>190</v>
      </c>
      <c r="F6" s="24">
        <v>60</v>
      </c>
      <c r="G6" s="24">
        <v>130</v>
      </c>
      <c r="H6" s="28">
        <v>5.2631578947368397E-2</v>
      </c>
    </row>
    <row r="7" spans="1:11" ht="16.5" customHeight="1" x14ac:dyDescent="0.3">
      <c r="A7" s="87" t="s">
        <v>39</v>
      </c>
      <c r="B7" s="24">
        <v>190</v>
      </c>
      <c r="C7" s="24">
        <v>60</v>
      </c>
      <c r="D7" s="24">
        <v>35</v>
      </c>
      <c r="E7" s="24">
        <v>250</v>
      </c>
      <c r="F7" s="24">
        <v>95</v>
      </c>
      <c r="G7" s="24">
        <v>155</v>
      </c>
      <c r="H7" s="28">
        <v>3.2661948829613499E-2</v>
      </c>
    </row>
    <row r="8" spans="1:11" ht="16.5" customHeight="1" x14ac:dyDescent="0.3">
      <c r="A8" s="87" t="s">
        <v>40</v>
      </c>
      <c r="B8" s="24">
        <v>250</v>
      </c>
      <c r="C8" s="24">
        <v>70</v>
      </c>
      <c r="D8" s="24">
        <v>40</v>
      </c>
      <c r="E8" s="24">
        <v>320</v>
      </c>
      <c r="F8" s="24">
        <v>135</v>
      </c>
      <c r="G8" s="24">
        <v>185</v>
      </c>
      <c r="H8" s="28">
        <v>3.0621172353455801E-2</v>
      </c>
    </row>
    <row r="9" spans="1:11" ht="16.5" customHeight="1" x14ac:dyDescent="0.3">
      <c r="A9" s="87" t="s">
        <v>41</v>
      </c>
      <c r="B9" s="24">
        <v>320</v>
      </c>
      <c r="C9" s="24">
        <v>80</v>
      </c>
      <c r="D9" s="24">
        <v>45</v>
      </c>
      <c r="E9" s="24">
        <v>400</v>
      </c>
      <c r="F9" s="24">
        <v>180</v>
      </c>
      <c r="G9" s="24">
        <v>220</v>
      </c>
      <c r="H9" s="28">
        <v>2.8109627547435002E-2</v>
      </c>
    </row>
    <row r="10" spans="1:11" ht="16.5" customHeight="1" x14ac:dyDescent="0.3">
      <c r="A10" s="87" t="s">
        <v>42</v>
      </c>
      <c r="B10" s="24">
        <v>400</v>
      </c>
      <c r="C10" s="24">
        <v>100</v>
      </c>
      <c r="D10" s="24">
        <v>55</v>
      </c>
      <c r="E10" s="24">
        <v>500</v>
      </c>
      <c r="F10" s="24">
        <v>235</v>
      </c>
      <c r="G10" s="24">
        <v>265</v>
      </c>
      <c r="H10" s="28">
        <v>2.6532236667551098E-2</v>
      </c>
    </row>
    <row r="11" spans="1:11" ht="16.5" customHeight="1" x14ac:dyDescent="0.3">
      <c r="A11" s="128" t="s">
        <v>43</v>
      </c>
      <c r="B11" s="129">
        <v>500</v>
      </c>
      <c r="C11" s="129">
        <v>120</v>
      </c>
      <c r="D11" s="129">
        <v>60</v>
      </c>
      <c r="E11" s="129">
        <v>620</v>
      </c>
      <c r="F11" s="129">
        <v>295</v>
      </c>
      <c r="G11" s="129">
        <v>325</v>
      </c>
      <c r="H11" s="130">
        <v>2.7926460321154301E-2</v>
      </c>
    </row>
    <row r="12" spans="1:11" ht="16.5" customHeight="1" x14ac:dyDescent="0.3">
      <c r="A12" s="128" t="s">
        <v>44</v>
      </c>
      <c r="B12" s="129">
        <v>620</v>
      </c>
      <c r="C12" s="129">
        <v>140</v>
      </c>
      <c r="D12" s="129">
        <v>70</v>
      </c>
      <c r="E12" s="129">
        <v>760</v>
      </c>
      <c r="F12" s="129">
        <v>365</v>
      </c>
      <c r="G12" s="129">
        <v>395</v>
      </c>
      <c r="H12" s="130">
        <v>2.8484231943031499E-2</v>
      </c>
    </row>
    <row r="13" spans="1:11" ht="16.5" customHeight="1" x14ac:dyDescent="0.3">
      <c r="A13" s="128" t="s">
        <v>45</v>
      </c>
      <c r="B13" s="129">
        <v>760</v>
      </c>
      <c r="C13" s="129">
        <v>160</v>
      </c>
      <c r="D13" s="129">
        <v>80</v>
      </c>
      <c r="E13" s="129">
        <v>920</v>
      </c>
      <c r="F13" s="129">
        <v>445</v>
      </c>
      <c r="G13" s="129">
        <v>475</v>
      </c>
      <c r="H13" s="130">
        <v>2.8505255656511699E-2</v>
      </c>
    </row>
    <row r="14" spans="1:11" ht="16.5" customHeight="1" x14ac:dyDescent="0.3">
      <c r="A14" s="128" t="s">
        <v>46</v>
      </c>
      <c r="B14" s="129">
        <v>920</v>
      </c>
      <c r="C14" s="129">
        <v>180</v>
      </c>
      <c r="D14" s="129">
        <v>90</v>
      </c>
      <c r="E14" s="129">
        <v>1100</v>
      </c>
      <c r="F14" s="129">
        <v>535</v>
      </c>
      <c r="G14" s="129">
        <v>565</v>
      </c>
      <c r="H14" s="130">
        <v>2.8630507396214401E-2</v>
      </c>
    </row>
    <row r="15" spans="1:11" ht="16.5" customHeight="1" x14ac:dyDescent="0.3">
      <c r="A15" s="128" t="s">
        <v>47</v>
      </c>
      <c r="B15" s="129">
        <v>1100</v>
      </c>
      <c r="C15" s="129">
        <v>200</v>
      </c>
      <c r="D15" s="129">
        <v>100</v>
      </c>
      <c r="E15" s="129">
        <v>1300</v>
      </c>
      <c r="F15" s="129">
        <v>635</v>
      </c>
      <c r="G15" s="129">
        <v>665</v>
      </c>
      <c r="H15" s="130">
        <v>2.8918449971081599E-2</v>
      </c>
    </row>
    <row r="17" spans="1:11" ht="18" customHeight="1" x14ac:dyDescent="0.3">
      <c r="A17" s="143" t="s">
        <v>452</v>
      </c>
      <c r="B17" s="143"/>
      <c r="C17" s="143"/>
      <c r="D17" s="143"/>
      <c r="E17" s="143"/>
      <c r="F17" s="143"/>
      <c r="G17" s="143"/>
      <c r="H17" s="143"/>
      <c r="I17" s="143"/>
      <c r="J17" s="143"/>
      <c r="K17" s="143"/>
    </row>
    <row r="18" spans="1:11" ht="21.75" customHeight="1" x14ac:dyDescent="0.3">
      <c r="A18" s="19"/>
      <c r="B18" s="19" t="s">
        <v>453</v>
      </c>
      <c r="C18" s="19" t="s">
        <v>454</v>
      </c>
      <c r="D18" s="19" t="s">
        <v>455</v>
      </c>
      <c r="E18" s="19" t="s">
        <v>456</v>
      </c>
      <c r="F18" s="19" t="s">
        <v>457</v>
      </c>
      <c r="G18" s="19" t="s">
        <v>458</v>
      </c>
    </row>
    <row r="19" spans="1:11" ht="16.5" customHeight="1" x14ac:dyDescent="0.3">
      <c r="A19" s="87" t="s">
        <v>38</v>
      </c>
      <c r="B19" s="24">
        <v>535</v>
      </c>
      <c r="C19" s="24">
        <v>500</v>
      </c>
      <c r="D19" s="24">
        <v>500</v>
      </c>
      <c r="E19" s="24">
        <v>535</v>
      </c>
      <c r="F19" s="28">
        <v>0.52631578947368396</v>
      </c>
      <c r="G19" s="28">
        <v>0.52631578947368396</v>
      </c>
    </row>
    <row r="20" spans="1:11" ht="16.5" customHeight="1" x14ac:dyDescent="0.3">
      <c r="A20" s="87" t="s">
        <v>39</v>
      </c>
      <c r="B20" s="24">
        <v>285</v>
      </c>
      <c r="C20" s="24">
        <v>800</v>
      </c>
      <c r="D20" s="24">
        <v>800</v>
      </c>
      <c r="E20" s="24">
        <v>285</v>
      </c>
      <c r="F20" s="28">
        <v>0.43549265106151303</v>
      </c>
      <c r="G20" s="28">
        <v>0.43549265106151303</v>
      </c>
    </row>
    <row r="21" spans="1:11" ht="16.5" customHeight="1" x14ac:dyDescent="0.3">
      <c r="A21" s="87" t="s">
        <v>40</v>
      </c>
      <c r="B21" s="24">
        <v>200</v>
      </c>
      <c r="C21" s="24">
        <v>1000</v>
      </c>
      <c r="D21" s="24">
        <v>1000</v>
      </c>
      <c r="E21" s="24">
        <v>200</v>
      </c>
      <c r="F21" s="28">
        <v>0.43744531933508302</v>
      </c>
      <c r="G21" s="28">
        <v>0.43744531933508302</v>
      </c>
    </row>
    <row r="22" spans="1:11" ht="16.5" customHeight="1" x14ac:dyDescent="0.3">
      <c r="A22" s="87" t="s">
        <v>41</v>
      </c>
      <c r="B22" s="24">
        <v>850</v>
      </c>
      <c r="C22" s="24">
        <v>1200</v>
      </c>
      <c r="D22" s="24">
        <v>1200</v>
      </c>
      <c r="E22" s="24">
        <v>850</v>
      </c>
      <c r="F22" s="28">
        <v>0.42164441321152502</v>
      </c>
      <c r="G22" s="28">
        <v>0.42164441321152502</v>
      </c>
    </row>
    <row r="23" spans="1:11" ht="16.5" customHeight="1" x14ac:dyDescent="0.3">
      <c r="A23" s="87" t="s">
        <v>42</v>
      </c>
      <c r="B23" s="24">
        <v>850</v>
      </c>
      <c r="C23" s="24">
        <v>1400</v>
      </c>
      <c r="D23" s="24">
        <v>1400</v>
      </c>
      <c r="E23" s="24">
        <v>850</v>
      </c>
      <c r="F23" s="28">
        <v>0.37145131334571502</v>
      </c>
      <c r="G23" s="28">
        <v>0.37145131334571502</v>
      </c>
    </row>
    <row r="24" spans="1:11" ht="16.5" customHeight="1" x14ac:dyDescent="0.3">
      <c r="A24" s="128" t="s">
        <v>43</v>
      </c>
      <c r="B24" s="129">
        <v>815</v>
      </c>
      <c r="C24" s="129">
        <v>1600</v>
      </c>
      <c r="D24" s="129">
        <v>1600</v>
      </c>
      <c r="E24" s="129">
        <v>815</v>
      </c>
      <c r="F24" s="130">
        <v>0.37235280428205703</v>
      </c>
      <c r="G24" s="130">
        <v>0.37235280428205703</v>
      </c>
    </row>
    <row r="25" spans="1:11" ht="16.5" customHeight="1" x14ac:dyDescent="0.3">
      <c r="A25" s="128" t="s">
        <v>44</v>
      </c>
      <c r="B25" s="129">
        <v>765</v>
      </c>
      <c r="C25" s="129">
        <v>1800</v>
      </c>
      <c r="D25" s="129">
        <v>1800</v>
      </c>
      <c r="E25" s="129">
        <v>765</v>
      </c>
      <c r="F25" s="130">
        <v>0.36622583926754798</v>
      </c>
      <c r="G25" s="130">
        <v>0.36622583926754798</v>
      </c>
    </row>
    <row r="26" spans="1:11" ht="16.5" customHeight="1" x14ac:dyDescent="0.3">
      <c r="A26" s="128" t="s">
        <v>45</v>
      </c>
      <c r="B26" s="129">
        <v>700</v>
      </c>
      <c r="C26" s="129">
        <v>2000</v>
      </c>
      <c r="D26" s="129">
        <v>2000</v>
      </c>
      <c r="E26" s="129">
        <v>700</v>
      </c>
      <c r="F26" s="130">
        <v>0.35631569570639599</v>
      </c>
      <c r="G26" s="130">
        <v>0.35631569570639599</v>
      </c>
    </row>
    <row r="27" spans="1:11" ht="16.5" customHeight="1" x14ac:dyDescent="0.3">
      <c r="A27" s="128" t="s">
        <v>46</v>
      </c>
      <c r="B27" s="129">
        <v>615</v>
      </c>
      <c r="C27" s="129">
        <v>2200</v>
      </c>
      <c r="D27" s="129">
        <v>2200</v>
      </c>
      <c r="E27" s="129">
        <v>615</v>
      </c>
      <c r="F27" s="130">
        <v>0.34992842373151001</v>
      </c>
      <c r="G27" s="130">
        <v>0.34992842373151001</v>
      </c>
    </row>
    <row r="28" spans="1:11" ht="16.5" customHeight="1" x14ac:dyDescent="0.3">
      <c r="A28" s="128" t="s">
        <v>47</v>
      </c>
      <c r="B28" s="129">
        <v>510</v>
      </c>
      <c r="C28" s="129">
        <v>2400</v>
      </c>
      <c r="D28" s="129">
        <v>2400</v>
      </c>
      <c r="E28" s="129">
        <v>510</v>
      </c>
      <c r="F28" s="130">
        <v>0.34702139965297901</v>
      </c>
      <c r="G28" s="130">
        <v>0.34702139965297901</v>
      </c>
    </row>
    <row r="30" spans="1:11" ht="18" customHeight="1" x14ac:dyDescent="0.3">
      <c r="A30" s="143" t="s">
        <v>459</v>
      </c>
      <c r="B30" s="143"/>
      <c r="C30" s="143"/>
      <c r="D30" s="143"/>
      <c r="E30" s="143"/>
      <c r="F30" s="143"/>
      <c r="G30" s="143"/>
    </row>
    <row r="31" spans="1:11" ht="21.75" customHeight="1" x14ac:dyDescent="0.3">
      <c r="A31" s="19" t="s">
        <v>435</v>
      </c>
      <c r="B31" s="19" t="s">
        <v>460</v>
      </c>
      <c r="C31" s="19" t="s">
        <v>461</v>
      </c>
      <c r="D31" s="19" t="s">
        <v>462</v>
      </c>
      <c r="E31" s="19" t="s">
        <v>463</v>
      </c>
      <c r="F31" s="19" t="s">
        <v>464</v>
      </c>
      <c r="G31" s="19" t="s">
        <v>392</v>
      </c>
    </row>
    <row r="32" spans="1:11" ht="16.5" customHeight="1" x14ac:dyDescent="0.3">
      <c r="A32" s="87" t="s">
        <v>38</v>
      </c>
      <c r="B32" s="24">
        <v>86</v>
      </c>
      <c r="C32" s="28">
        <v>9.0526315789473705E-2</v>
      </c>
      <c r="D32" s="24">
        <v>90</v>
      </c>
      <c r="E32" s="28">
        <v>0.13953488372093001</v>
      </c>
      <c r="F32" s="24">
        <v>-15</v>
      </c>
      <c r="G32" s="131" t="s">
        <v>465</v>
      </c>
    </row>
    <row r="33" spans="1:8" ht="16.5" customHeight="1" x14ac:dyDescent="0.3">
      <c r="A33" s="87" t="s">
        <v>39</v>
      </c>
      <c r="B33" s="24">
        <v>137</v>
      </c>
      <c r="C33" s="28">
        <v>7.4578116494284197E-2</v>
      </c>
      <c r="D33" s="24">
        <v>130</v>
      </c>
      <c r="E33" s="28">
        <v>0.105691056910569</v>
      </c>
      <c r="F33" s="24">
        <v>-28</v>
      </c>
      <c r="G33" s="131" t="s">
        <v>465</v>
      </c>
    </row>
    <row r="34" spans="1:8" ht="16.5" customHeight="1" x14ac:dyDescent="0.3">
      <c r="A34" s="87" t="s">
        <v>40</v>
      </c>
      <c r="B34" s="24">
        <v>207</v>
      </c>
      <c r="C34" s="28">
        <v>9.0551181102362197E-2</v>
      </c>
      <c r="D34" s="24">
        <v>170</v>
      </c>
      <c r="E34" s="28">
        <v>0.11371237458194</v>
      </c>
      <c r="F34" s="24">
        <v>-35</v>
      </c>
      <c r="G34" s="131" t="s">
        <v>465</v>
      </c>
    </row>
    <row r="35" spans="1:8" ht="16.5" customHeight="1" x14ac:dyDescent="0.3">
      <c r="A35" s="87" t="s">
        <v>41</v>
      </c>
      <c r="B35" s="24">
        <v>86</v>
      </c>
      <c r="C35" s="28">
        <v>3.0217849613492598E-2</v>
      </c>
      <c r="D35" s="24">
        <v>703</v>
      </c>
      <c r="E35" s="28">
        <v>0.39077265147304102</v>
      </c>
      <c r="F35" s="24">
        <v>-45</v>
      </c>
      <c r="G35" s="131" t="s">
        <v>465</v>
      </c>
    </row>
    <row r="36" spans="1:8" ht="16.5" customHeight="1" x14ac:dyDescent="0.3">
      <c r="A36" s="87" t="s">
        <v>42</v>
      </c>
      <c r="B36" s="24">
        <v>137</v>
      </c>
      <c r="C36" s="28">
        <v>3.6349164234544998E-2</v>
      </c>
      <c r="D36" s="24">
        <v>863</v>
      </c>
      <c r="E36" s="28">
        <v>0.38786516853932601</v>
      </c>
      <c r="F36" s="24">
        <v>-60</v>
      </c>
      <c r="G36" s="131" t="s">
        <v>465</v>
      </c>
    </row>
    <row r="37" spans="1:8" ht="16.5" customHeight="1" x14ac:dyDescent="0.3">
      <c r="A37" s="128" t="s">
        <v>43</v>
      </c>
      <c r="B37" s="129">
        <v>165</v>
      </c>
      <c r="C37" s="130">
        <v>3.8398882941587199E-2</v>
      </c>
      <c r="D37" s="129">
        <v>940</v>
      </c>
      <c r="E37" s="130">
        <v>0.35673624288425099</v>
      </c>
      <c r="F37" s="129">
        <v>-65</v>
      </c>
      <c r="G37" s="132" t="s">
        <v>466</v>
      </c>
    </row>
    <row r="38" spans="1:8" ht="16.5" customHeight="1" x14ac:dyDescent="0.3">
      <c r="A38" s="128" t="s">
        <v>44</v>
      </c>
      <c r="B38" s="129">
        <v>189</v>
      </c>
      <c r="C38" s="130">
        <v>3.8453713123092599E-2</v>
      </c>
      <c r="D38" s="129">
        <v>1020</v>
      </c>
      <c r="E38" s="130">
        <v>0.33420707732634303</v>
      </c>
      <c r="F38" s="129">
        <v>-67</v>
      </c>
      <c r="G38" s="132" t="s">
        <v>467</v>
      </c>
    </row>
    <row r="39" spans="1:8" ht="16.5" customHeight="1" x14ac:dyDescent="0.3">
      <c r="A39" s="128" t="s">
        <v>45</v>
      </c>
      <c r="B39" s="129">
        <v>216</v>
      </c>
      <c r="C39" s="130">
        <v>3.8482095136290799E-2</v>
      </c>
      <c r="D39" s="129">
        <v>1100</v>
      </c>
      <c r="E39" s="130">
        <v>0.31654676258992798</v>
      </c>
      <c r="F39" s="129">
        <v>-65</v>
      </c>
      <c r="G39" s="132" t="s">
        <v>467</v>
      </c>
    </row>
    <row r="40" spans="1:8" ht="16.5" customHeight="1" x14ac:dyDescent="0.3">
      <c r="A40" s="128" t="s">
        <v>46</v>
      </c>
      <c r="B40" s="129">
        <v>241</v>
      </c>
      <c r="C40" s="130">
        <v>3.83330682360426E-2</v>
      </c>
      <c r="D40" s="129">
        <v>1180</v>
      </c>
      <c r="E40" s="130">
        <v>0.30256410256410299</v>
      </c>
      <c r="F40" s="129">
        <v>-70</v>
      </c>
      <c r="G40" s="132" t="s">
        <v>467</v>
      </c>
    </row>
    <row r="41" spans="1:8" ht="16.5" customHeight="1" x14ac:dyDescent="0.3">
      <c r="A41" s="128" t="s">
        <v>47</v>
      </c>
      <c r="B41" s="129">
        <v>265</v>
      </c>
      <c r="C41" s="130">
        <v>3.8316946211683099E-2</v>
      </c>
      <c r="D41" s="129">
        <v>1240</v>
      </c>
      <c r="E41" s="130">
        <v>0.29349112426035501</v>
      </c>
      <c r="F41" s="129">
        <v>-75</v>
      </c>
      <c r="G41" s="132" t="s">
        <v>467</v>
      </c>
    </row>
    <row r="43" spans="1:8" ht="18" customHeight="1" x14ac:dyDescent="0.3">
      <c r="A43" s="143" t="s">
        <v>468</v>
      </c>
      <c r="B43" s="143"/>
      <c r="C43" s="143"/>
      <c r="D43" s="143"/>
      <c r="E43" s="143"/>
      <c r="F43" s="143"/>
      <c r="G43" s="143"/>
      <c r="H43" s="143"/>
    </row>
    <row r="44" spans="1:8" ht="21.75" customHeight="1" x14ac:dyDescent="0.3">
      <c r="A44" s="19" t="s">
        <v>435</v>
      </c>
      <c r="B44" s="19" t="s">
        <v>469</v>
      </c>
      <c r="C44" s="19" t="s">
        <v>470</v>
      </c>
      <c r="D44" s="19" t="s">
        <v>471</v>
      </c>
      <c r="E44" s="19" t="s">
        <v>472</v>
      </c>
      <c r="F44" s="19" t="s">
        <v>473</v>
      </c>
      <c r="G44" s="19" t="s">
        <v>474</v>
      </c>
      <c r="H44" s="19" t="s">
        <v>194</v>
      </c>
    </row>
    <row r="45" spans="1:8" ht="16.5" customHeight="1" x14ac:dyDescent="0.3">
      <c r="A45" s="133" t="s">
        <v>38</v>
      </c>
      <c r="B45" s="133">
        <v>0</v>
      </c>
      <c r="C45" s="133">
        <v>0</v>
      </c>
      <c r="D45" s="133">
        <v>0</v>
      </c>
      <c r="E45" s="133">
        <v>0</v>
      </c>
      <c r="F45" s="134" t="s">
        <v>475</v>
      </c>
      <c r="G45" s="134" t="s">
        <v>475</v>
      </c>
      <c r="H45" s="134" t="s">
        <v>476</v>
      </c>
    </row>
    <row r="46" spans="1:8" ht="16.5" customHeight="1" x14ac:dyDescent="0.3">
      <c r="A46" s="135" t="s">
        <v>39</v>
      </c>
      <c r="B46" s="135">
        <v>0</v>
      </c>
      <c r="C46" s="135">
        <v>0</v>
      </c>
      <c r="D46" s="135">
        <v>0</v>
      </c>
      <c r="E46" s="135">
        <v>0</v>
      </c>
      <c r="F46" s="136" t="s">
        <v>475</v>
      </c>
      <c r="G46" s="136" t="s">
        <v>475</v>
      </c>
      <c r="H46" s="136" t="s">
        <v>476</v>
      </c>
    </row>
    <row r="47" spans="1:8" ht="16.5" customHeight="1" x14ac:dyDescent="0.3">
      <c r="A47" s="133" t="s">
        <v>40</v>
      </c>
      <c r="B47" s="133">
        <v>0</v>
      </c>
      <c r="C47" s="133">
        <v>0</v>
      </c>
      <c r="D47" s="133">
        <v>0</v>
      </c>
      <c r="E47" s="133">
        <v>0</v>
      </c>
      <c r="F47" s="134" t="s">
        <v>475</v>
      </c>
      <c r="G47" s="134" t="s">
        <v>475</v>
      </c>
      <c r="H47" s="134" t="s">
        <v>476</v>
      </c>
    </row>
    <row r="48" spans="1:8" ht="16.5" customHeight="1" x14ac:dyDescent="0.3">
      <c r="A48" s="135" t="s">
        <v>41</v>
      </c>
      <c r="B48" s="135">
        <v>0</v>
      </c>
      <c r="C48" s="135">
        <v>0</v>
      </c>
      <c r="D48" s="135">
        <v>0</v>
      </c>
      <c r="E48" s="135">
        <v>0</v>
      </c>
      <c r="F48" s="136" t="s">
        <v>475</v>
      </c>
      <c r="G48" s="136" t="s">
        <v>475</v>
      </c>
      <c r="H48" s="136" t="s">
        <v>476</v>
      </c>
    </row>
    <row r="49" spans="1:8" ht="16.5" customHeight="1" x14ac:dyDescent="0.3">
      <c r="A49" s="133" t="s">
        <v>42</v>
      </c>
      <c r="B49" s="133">
        <v>0</v>
      </c>
      <c r="C49" s="133">
        <v>0</v>
      </c>
      <c r="D49" s="133">
        <v>0</v>
      </c>
      <c r="E49" s="133">
        <v>0</v>
      </c>
      <c r="F49" s="134" t="s">
        <v>475</v>
      </c>
      <c r="G49" s="134" t="s">
        <v>475</v>
      </c>
      <c r="H49" s="134" t="s">
        <v>476</v>
      </c>
    </row>
    <row r="50" spans="1:8" ht="16.5" customHeight="1" x14ac:dyDescent="0.3">
      <c r="A50" s="135" t="s">
        <v>43</v>
      </c>
      <c r="B50" s="135">
        <v>0</v>
      </c>
      <c r="C50" s="135">
        <v>0</v>
      </c>
      <c r="D50" s="135">
        <v>0</v>
      </c>
      <c r="E50" s="135">
        <v>0</v>
      </c>
      <c r="F50" s="136" t="s">
        <v>475</v>
      </c>
      <c r="G50" s="136" t="s">
        <v>475</v>
      </c>
      <c r="H50" s="136" t="s">
        <v>476</v>
      </c>
    </row>
    <row r="51" spans="1:8" ht="16.5" customHeight="1" x14ac:dyDescent="0.3">
      <c r="A51" s="133" t="s">
        <v>44</v>
      </c>
      <c r="B51" s="133">
        <v>0</v>
      </c>
      <c r="C51" s="133">
        <v>0</v>
      </c>
      <c r="D51" s="133">
        <v>0</v>
      </c>
      <c r="E51" s="133">
        <v>0</v>
      </c>
      <c r="F51" s="134" t="s">
        <v>475</v>
      </c>
      <c r="G51" s="134" t="s">
        <v>475</v>
      </c>
      <c r="H51" s="134" t="s">
        <v>476</v>
      </c>
    </row>
    <row r="52" spans="1:8" ht="16.5" customHeight="1" x14ac:dyDescent="0.3">
      <c r="A52" s="135" t="s">
        <v>45</v>
      </c>
      <c r="B52" s="135">
        <v>0</v>
      </c>
      <c r="C52" s="135">
        <v>0</v>
      </c>
      <c r="D52" s="135">
        <v>0</v>
      </c>
      <c r="E52" s="135">
        <v>0</v>
      </c>
      <c r="F52" s="136" t="s">
        <v>475</v>
      </c>
      <c r="G52" s="136" t="s">
        <v>475</v>
      </c>
      <c r="H52" s="136" t="s">
        <v>476</v>
      </c>
    </row>
    <row r="53" spans="1:8" ht="16.5" customHeight="1" x14ac:dyDescent="0.3">
      <c r="A53" s="133" t="s">
        <v>46</v>
      </c>
      <c r="B53" s="133">
        <v>0</v>
      </c>
      <c r="C53" s="133">
        <v>0</v>
      </c>
      <c r="D53" s="133">
        <v>0</v>
      </c>
      <c r="E53" s="133">
        <v>0</v>
      </c>
      <c r="F53" s="134" t="s">
        <v>475</v>
      </c>
      <c r="G53" s="134" t="s">
        <v>475</v>
      </c>
      <c r="H53" s="134" t="s">
        <v>476</v>
      </c>
    </row>
    <row r="54" spans="1:8" ht="16.5" customHeight="1" x14ac:dyDescent="0.3">
      <c r="A54" s="135" t="s">
        <v>47</v>
      </c>
      <c r="B54" s="135">
        <v>0</v>
      </c>
      <c r="C54" s="135">
        <v>0</v>
      </c>
      <c r="D54" s="135">
        <v>0</v>
      </c>
      <c r="E54" s="135">
        <v>0</v>
      </c>
      <c r="F54" s="136" t="s">
        <v>475</v>
      </c>
      <c r="G54" s="136" t="s">
        <v>475</v>
      </c>
      <c r="H54" s="136" t="s">
        <v>476</v>
      </c>
    </row>
  </sheetData>
  <mergeCells count="5">
    <mergeCell ref="A1:K1"/>
    <mergeCell ref="A4:K4"/>
    <mergeCell ref="A17:K17"/>
    <mergeCell ref="A30:G30"/>
    <mergeCell ref="A43:H43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9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11" width="13" customWidth="1"/>
  </cols>
  <sheetData>
    <row r="1" spans="1:11" ht="30" customHeight="1" x14ac:dyDescent="0.3">
      <c r="A1" s="142" t="s">
        <v>477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</row>
    <row r="2" spans="1:11" ht="6" customHeight="1" x14ac:dyDescent="0.3"/>
    <row r="3" spans="1:11" ht="19.5" customHeight="1" x14ac:dyDescent="0.3">
      <c r="A3" s="18" t="s">
        <v>37</v>
      </c>
      <c r="B3" s="19" t="s">
        <v>38</v>
      </c>
      <c r="C3" s="19" t="s">
        <v>39</v>
      </c>
      <c r="D3" s="19" t="s">
        <v>40</v>
      </c>
      <c r="E3" s="19" t="s">
        <v>41</v>
      </c>
      <c r="F3" s="20" t="s">
        <v>42</v>
      </c>
      <c r="G3" s="21" t="s">
        <v>43</v>
      </c>
      <c r="H3" s="21" t="s">
        <v>44</v>
      </c>
      <c r="I3" s="21" t="s">
        <v>45</v>
      </c>
      <c r="J3" s="21" t="s">
        <v>46</v>
      </c>
      <c r="K3" s="21" t="s">
        <v>47</v>
      </c>
    </row>
    <row r="4" spans="1:11" ht="18" customHeight="1" x14ac:dyDescent="0.3">
      <c r="A4" s="143" t="s">
        <v>478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</row>
    <row r="5" spans="1:11" ht="19.5" customHeight="1" x14ac:dyDescent="0.3">
      <c r="A5" s="19" t="s">
        <v>479</v>
      </c>
      <c r="B5" s="19" t="s">
        <v>38</v>
      </c>
      <c r="C5" s="19" t="s">
        <v>39</v>
      </c>
      <c r="D5" s="19" t="s">
        <v>40</v>
      </c>
      <c r="E5" s="19" t="s">
        <v>41</v>
      </c>
      <c r="F5" s="20" t="s">
        <v>42</v>
      </c>
      <c r="G5" s="21" t="s">
        <v>43</v>
      </c>
      <c r="H5" s="21" t="s">
        <v>44</v>
      </c>
      <c r="I5" s="21" t="s">
        <v>45</v>
      </c>
      <c r="J5" s="21" t="s">
        <v>46</v>
      </c>
      <c r="K5" s="21" t="s">
        <v>47</v>
      </c>
    </row>
    <row r="6" spans="1:11" ht="16.5" customHeight="1" x14ac:dyDescent="0.3">
      <c r="A6" s="26" t="s">
        <v>480</v>
      </c>
      <c r="B6" s="113">
        <v>12</v>
      </c>
      <c r="C6" s="113">
        <v>20</v>
      </c>
      <c r="D6" s="113">
        <v>35</v>
      </c>
      <c r="E6" s="113">
        <v>52</v>
      </c>
      <c r="F6" s="113">
        <v>85</v>
      </c>
      <c r="G6" s="47">
        <v>355</v>
      </c>
      <c r="H6" s="47">
        <v>461</v>
      </c>
      <c r="I6" s="47">
        <v>568</v>
      </c>
      <c r="J6" s="47">
        <v>684</v>
      </c>
      <c r="K6" s="47">
        <v>778</v>
      </c>
    </row>
    <row r="7" spans="1:11" ht="16.5" customHeight="1" x14ac:dyDescent="0.3">
      <c r="A7" s="26" t="s">
        <v>481</v>
      </c>
      <c r="B7" s="113">
        <f>Assumptions!B31</f>
        <v>25</v>
      </c>
      <c r="C7" s="113">
        <f>Assumptions!C31</f>
        <v>35</v>
      </c>
      <c r="D7" s="113">
        <f>Assumptions!D31</f>
        <v>45</v>
      </c>
      <c r="E7" s="113">
        <f>Assumptions!E31</f>
        <v>55</v>
      </c>
      <c r="F7" s="113">
        <f>Assumptions!F31</f>
        <v>70</v>
      </c>
      <c r="G7" s="47">
        <f>Assumptions!G31</f>
        <v>85</v>
      </c>
      <c r="H7" s="47">
        <f>Assumptions!H31</f>
        <v>100</v>
      </c>
      <c r="I7" s="47">
        <f>Assumptions!I31</f>
        <v>120</v>
      </c>
      <c r="J7" s="47">
        <f>Assumptions!J31</f>
        <v>140</v>
      </c>
      <c r="K7" s="47">
        <f>Assumptions!K31</f>
        <v>160</v>
      </c>
    </row>
    <row r="8" spans="1:11" ht="16.5" customHeight="1" x14ac:dyDescent="0.3">
      <c r="A8" s="26" t="s">
        <v>482</v>
      </c>
      <c r="B8" s="113">
        <v>500</v>
      </c>
      <c r="C8" s="113">
        <v>800</v>
      </c>
      <c r="D8" s="113">
        <v>1000</v>
      </c>
      <c r="E8" s="113">
        <v>1200</v>
      </c>
      <c r="F8" s="113">
        <v>1400</v>
      </c>
      <c r="G8" s="47">
        <v>1600</v>
      </c>
      <c r="H8" s="47">
        <v>1800</v>
      </c>
      <c r="I8" s="47">
        <v>2000</v>
      </c>
      <c r="J8" s="47">
        <v>2200</v>
      </c>
      <c r="K8" s="47">
        <v>2400</v>
      </c>
    </row>
    <row r="9" spans="1:11" ht="16.5" customHeight="1" x14ac:dyDescent="0.3">
      <c r="A9" s="26" t="s">
        <v>483</v>
      </c>
      <c r="B9" s="113">
        <v>10</v>
      </c>
      <c r="C9" s="113">
        <v>15</v>
      </c>
      <c r="D9" s="113">
        <v>20</v>
      </c>
      <c r="E9" s="113">
        <v>25</v>
      </c>
      <c r="F9" s="113">
        <v>30</v>
      </c>
      <c r="G9" s="47">
        <v>35</v>
      </c>
      <c r="H9" s="47">
        <v>40</v>
      </c>
      <c r="I9" s="47">
        <v>45</v>
      </c>
      <c r="J9" s="47">
        <v>50</v>
      </c>
      <c r="K9" s="47">
        <v>55</v>
      </c>
    </row>
    <row r="10" spans="1:11" ht="16.5" customHeight="1" x14ac:dyDescent="0.3">
      <c r="A10" s="26" t="s">
        <v>484</v>
      </c>
      <c r="B10" s="113">
        <v>2</v>
      </c>
      <c r="C10" s="113">
        <v>5</v>
      </c>
      <c r="D10" s="113">
        <v>8</v>
      </c>
      <c r="E10" s="113">
        <v>12</v>
      </c>
      <c r="F10" s="113">
        <v>18</v>
      </c>
      <c r="G10" s="47">
        <v>20</v>
      </c>
      <c r="H10" s="47">
        <v>22</v>
      </c>
      <c r="I10" s="47">
        <v>25</v>
      </c>
      <c r="J10" s="47">
        <v>27</v>
      </c>
      <c r="K10" s="47">
        <v>30</v>
      </c>
    </row>
    <row r="11" spans="1:11" ht="16.5" customHeight="1" x14ac:dyDescent="0.3">
      <c r="A11" s="26" t="s">
        <v>485</v>
      </c>
      <c r="B11" s="113">
        <v>-15</v>
      </c>
      <c r="C11" s="113">
        <v>-28</v>
      </c>
      <c r="D11" s="113">
        <v>-35</v>
      </c>
      <c r="E11" s="113">
        <v>-45</v>
      </c>
      <c r="F11" s="113">
        <v>-60</v>
      </c>
      <c r="G11" s="47">
        <v>-65</v>
      </c>
      <c r="H11" s="47">
        <v>-67</v>
      </c>
      <c r="I11" s="47">
        <v>-65</v>
      </c>
      <c r="J11" s="47">
        <v>-70</v>
      </c>
      <c r="K11" s="47">
        <v>-75</v>
      </c>
    </row>
    <row r="12" spans="1:11" ht="16.5" customHeight="1" x14ac:dyDescent="0.3">
      <c r="A12" s="23" t="s">
        <v>164</v>
      </c>
      <c r="B12" s="25">
        <f t="shared" ref="B12:K12" si="0">SUM(B6:B11)</f>
        <v>534</v>
      </c>
      <c r="C12" s="25">
        <f t="shared" si="0"/>
        <v>847</v>
      </c>
      <c r="D12" s="25">
        <f t="shared" si="0"/>
        <v>1073</v>
      </c>
      <c r="E12" s="25">
        <f t="shared" si="0"/>
        <v>1299</v>
      </c>
      <c r="F12" s="25">
        <f t="shared" si="0"/>
        <v>1543</v>
      </c>
      <c r="G12" s="25">
        <f t="shared" si="0"/>
        <v>2030</v>
      </c>
      <c r="H12" s="25">
        <f t="shared" si="0"/>
        <v>2356</v>
      </c>
      <c r="I12" s="25">
        <f t="shared" si="0"/>
        <v>2693</v>
      </c>
      <c r="J12" s="25">
        <f t="shared" si="0"/>
        <v>3031</v>
      </c>
      <c r="K12" s="25">
        <f t="shared" si="0"/>
        <v>3348</v>
      </c>
    </row>
    <row r="13" spans="1:11" ht="16.5" customHeight="1" x14ac:dyDescent="0.3">
      <c r="A13" s="26" t="s">
        <v>486</v>
      </c>
      <c r="B13" s="112">
        <v>0.57578947368421096</v>
      </c>
      <c r="C13" s="112">
        <v>0.470332063146434</v>
      </c>
      <c r="D13" s="112">
        <v>0.477690288713911</v>
      </c>
      <c r="E13" s="112">
        <v>0.464862965565706</v>
      </c>
      <c r="F13" s="112">
        <v>0.41602547094720099</v>
      </c>
      <c r="G13" s="48">
        <v>0.414707935769141</v>
      </c>
      <c r="H13" s="48">
        <v>0.41810783316378403</v>
      </c>
      <c r="I13" s="48">
        <v>0.41279173347586001</v>
      </c>
      <c r="J13" s="48">
        <v>0.40814378877047902</v>
      </c>
      <c r="K13" s="48">
        <v>0.407027183342973</v>
      </c>
    </row>
    <row r="14" spans="1:11" ht="16.5" customHeight="1" x14ac:dyDescent="0.3">
      <c r="A14" s="26" t="s">
        <v>487</v>
      </c>
      <c r="B14" s="34" t="s">
        <v>51</v>
      </c>
      <c r="C14" s="112">
        <v>0.57952468007312596</v>
      </c>
      <c r="D14" s="112">
        <v>0.26388888888888901</v>
      </c>
      <c r="E14" s="112">
        <v>0.21153846153846201</v>
      </c>
      <c r="F14" s="112">
        <v>0.18518518518518501</v>
      </c>
      <c r="G14" s="48">
        <v>0.136479591836735</v>
      </c>
      <c r="H14" s="48">
        <v>0.153198653198653</v>
      </c>
      <c r="I14" s="48">
        <v>0.127493917274939</v>
      </c>
      <c r="J14" s="48">
        <v>0.107466551575313</v>
      </c>
      <c r="K14" s="48">
        <v>9.7038191738113802E-2</v>
      </c>
    </row>
    <row r="16" spans="1:11" ht="18" customHeight="1" x14ac:dyDescent="0.3">
      <c r="A16" s="143" t="s">
        <v>488</v>
      </c>
      <c r="B16" s="143"/>
      <c r="C16" s="143"/>
      <c r="D16" s="143"/>
      <c r="E16" s="143"/>
      <c r="F16" s="143"/>
      <c r="G16" s="143"/>
      <c r="H16" s="143"/>
      <c r="I16" s="143"/>
      <c r="J16" s="143"/>
      <c r="K16" s="143"/>
    </row>
    <row r="17" spans="1:11" ht="19.5" customHeight="1" x14ac:dyDescent="0.3">
      <c r="A17" s="19" t="s">
        <v>479</v>
      </c>
      <c r="B17" s="19" t="s">
        <v>38</v>
      </c>
      <c r="C17" s="19" t="s">
        <v>39</v>
      </c>
      <c r="D17" s="19" t="s">
        <v>40</v>
      </c>
      <c r="E17" s="19" t="s">
        <v>41</v>
      </c>
      <c r="F17" s="20" t="s">
        <v>42</v>
      </c>
      <c r="G17" s="21" t="s">
        <v>43</v>
      </c>
      <c r="H17" s="21" t="s">
        <v>44</v>
      </c>
      <c r="I17" s="21" t="s">
        <v>45</v>
      </c>
      <c r="J17" s="21" t="s">
        <v>46</v>
      </c>
      <c r="K17" s="21" t="s">
        <v>47</v>
      </c>
    </row>
    <row r="18" spans="1:11" ht="16.5" customHeight="1" x14ac:dyDescent="0.3">
      <c r="A18" s="26" t="s">
        <v>489</v>
      </c>
      <c r="B18" s="113">
        <v>-500</v>
      </c>
      <c r="C18" s="113">
        <v>-800</v>
      </c>
      <c r="D18" s="113">
        <v>-1000</v>
      </c>
      <c r="E18" s="113">
        <v>-1200</v>
      </c>
      <c r="F18" s="113">
        <v>-1400</v>
      </c>
      <c r="G18" s="47">
        <v>-1600</v>
      </c>
      <c r="H18" s="47">
        <v>-1800</v>
      </c>
      <c r="I18" s="47">
        <v>-2000</v>
      </c>
      <c r="J18" s="47">
        <v>-2200</v>
      </c>
      <c r="K18" s="47">
        <v>-2400</v>
      </c>
    </row>
    <row r="19" spans="1:11" ht="16.5" customHeight="1" x14ac:dyDescent="0.3">
      <c r="A19" s="26" t="s">
        <v>490</v>
      </c>
      <c r="B19" s="113">
        <v>-50</v>
      </c>
      <c r="C19" s="113">
        <v>-60</v>
      </c>
      <c r="D19" s="113">
        <v>-70</v>
      </c>
      <c r="E19" s="113">
        <v>-80</v>
      </c>
      <c r="F19" s="113">
        <v>-100</v>
      </c>
      <c r="G19" s="47">
        <v>-120</v>
      </c>
      <c r="H19" s="47">
        <v>-140</v>
      </c>
      <c r="I19" s="47">
        <v>-160</v>
      </c>
      <c r="J19" s="47">
        <v>-180</v>
      </c>
      <c r="K19" s="47">
        <v>-200</v>
      </c>
    </row>
    <row r="20" spans="1:11" ht="16.5" customHeight="1" x14ac:dyDescent="0.3">
      <c r="A20" s="26" t="s">
        <v>491</v>
      </c>
      <c r="B20" s="113">
        <v>-5</v>
      </c>
      <c r="C20" s="113">
        <v>-10</v>
      </c>
      <c r="D20" s="113">
        <v>-13</v>
      </c>
      <c r="E20" s="113">
        <v>-18</v>
      </c>
      <c r="F20" s="113">
        <v>-20</v>
      </c>
      <c r="G20" s="47">
        <v>-24</v>
      </c>
      <c r="H20" s="47">
        <v>-26</v>
      </c>
      <c r="I20" s="47">
        <v>-28</v>
      </c>
      <c r="J20" s="47">
        <v>-30</v>
      </c>
      <c r="K20" s="47">
        <v>-32</v>
      </c>
    </row>
    <row r="21" spans="1:11" ht="16.5" customHeight="1" x14ac:dyDescent="0.3">
      <c r="A21" s="23" t="s">
        <v>169</v>
      </c>
      <c r="B21" s="25">
        <v>-655</v>
      </c>
      <c r="C21" s="25">
        <v>-870</v>
      </c>
      <c r="D21" s="25">
        <v>-1083</v>
      </c>
      <c r="E21" s="25">
        <v>-1298</v>
      </c>
      <c r="F21" s="25">
        <v>-1520</v>
      </c>
      <c r="G21" s="25">
        <v>-1744</v>
      </c>
      <c r="H21" s="25">
        <v>-1966</v>
      </c>
      <c r="I21" s="25">
        <v>-2188</v>
      </c>
      <c r="J21" s="25">
        <v>-2410</v>
      </c>
      <c r="K21" s="25">
        <v>-2632</v>
      </c>
    </row>
    <row r="22" spans="1:11" ht="16.5" customHeight="1" x14ac:dyDescent="0.3">
      <c r="A22" s="26" t="s">
        <v>492</v>
      </c>
      <c r="B22" s="112">
        <v>0.57894736842105299</v>
      </c>
      <c r="C22" s="112">
        <v>0.46815459989112701</v>
      </c>
      <c r="D22" s="112">
        <v>0.46806649168853898</v>
      </c>
      <c r="E22" s="112">
        <v>0.44975404075896003</v>
      </c>
      <c r="F22" s="112">
        <v>0.39798355001326602</v>
      </c>
      <c r="G22" s="48">
        <v>0.400279264603212</v>
      </c>
      <c r="H22" s="48">
        <v>0.39471007121057999</v>
      </c>
      <c r="I22" s="48">
        <v>0.384820951362908</v>
      </c>
      <c r="J22" s="48">
        <v>0.37855893112772399</v>
      </c>
      <c r="K22" s="48">
        <v>0.37593984962406002</v>
      </c>
    </row>
    <row r="23" spans="1:11" ht="16.5" customHeight="1" x14ac:dyDescent="0.3">
      <c r="A23" s="26" t="s">
        <v>493</v>
      </c>
      <c r="B23" s="112">
        <v>0.52631578947368396</v>
      </c>
      <c r="C23" s="112">
        <v>0.43549265106151303</v>
      </c>
      <c r="D23" s="112">
        <v>0.43744531933508302</v>
      </c>
      <c r="E23" s="112">
        <v>0.42164441321152502</v>
      </c>
      <c r="F23" s="112">
        <v>0.37145131334571502</v>
      </c>
      <c r="G23" s="48">
        <v>0.37235280428205703</v>
      </c>
      <c r="H23" s="48">
        <v>0.36622583926754798</v>
      </c>
      <c r="I23" s="48">
        <v>0.35631569570639599</v>
      </c>
      <c r="J23" s="48">
        <v>0.34992842373151001</v>
      </c>
      <c r="K23" s="48">
        <v>0.34702139965297901</v>
      </c>
    </row>
    <row r="25" spans="1:11" ht="18" customHeight="1" x14ac:dyDescent="0.3">
      <c r="A25" s="145" t="s">
        <v>494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</row>
    <row r="26" spans="1:11" ht="21.75" customHeight="1" x14ac:dyDescent="0.3">
      <c r="A26" s="19" t="s">
        <v>435</v>
      </c>
      <c r="B26" s="19" t="s">
        <v>495</v>
      </c>
      <c r="C26" s="19" t="s">
        <v>199</v>
      </c>
      <c r="D26" s="19" t="s">
        <v>496</v>
      </c>
      <c r="E26" s="19" t="s">
        <v>497</v>
      </c>
      <c r="F26" s="19" t="s">
        <v>498</v>
      </c>
      <c r="G26" s="19" t="s">
        <v>499</v>
      </c>
    </row>
    <row r="27" spans="1:11" ht="16.5" customHeight="1" x14ac:dyDescent="0.3">
      <c r="A27" s="76" t="s">
        <v>38</v>
      </c>
      <c r="B27" s="78">
        <v>547</v>
      </c>
      <c r="C27" s="78">
        <v>-550</v>
      </c>
      <c r="D27" s="137">
        <v>-103</v>
      </c>
      <c r="E27" s="117">
        <v>-0.108421052631579</v>
      </c>
      <c r="F27" s="78">
        <v>47.5</v>
      </c>
      <c r="G27" s="138">
        <v>-8.5833333333333304</v>
      </c>
    </row>
    <row r="28" spans="1:11" ht="16.5" customHeight="1" x14ac:dyDescent="0.3">
      <c r="A28" s="80" t="s">
        <v>39</v>
      </c>
      <c r="B28" s="82">
        <v>864</v>
      </c>
      <c r="C28" s="82">
        <v>-860</v>
      </c>
      <c r="D28" s="139">
        <v>4</v>
      </c>
      <c r="E28" s="118">
        <v>2.1774632553075699E-3</v>
      </c>
      <c r="F28" s="82">
        <v>91.85</v>
      </c>
      <c r="G28" s="140">
        <v>0.2</v>
      </c>
    </row>
    <row r="29" spans="1:11" ht="16.5" customHeight="1" x14ac:dyDescent="0.3">
      <c r="A29" s="76" t="s">
        <v>40</v>
      </c>
      <c r="B29" s="78">
        <v>1092</v>
      </c>
      <c r="C29" s="78">
        <v>-1070</v>
      </c>
      <c r="D29" s="139">
        <v>22</v>
      </c>
      <c r="E29" s="117">
        <v>9.6237970253718295E-3</v>
      </c>
      <c r="F29" s="78">
        <v>114.3</v>
      </c>
      <c r="G29" s="138">
        <v>0.628571428571429</v>
      </c>
    </row>
    <row r="30" spans="1:11" ht="16.5" customHeight="1" x14ac:dyDescent="0.3">
      <c r="A30" s="80" t="s">
        <v>41</v>
      </c>
      <c r="B30" s="82">
        <v>1323</v>
      </c>
      <c r="C30" s="82">
        <v>-1280</v>
      </c>
      <c r="D30" s="139">
        <v>43</v>
      </c>
      <c r="E30" s="118">
        <v>1.5108924806746299E-2</v>
      </c>
      <c r="F30" s="82">
        <v>142.30000000000001</v>
      </c>
      <c r="G30" s="140">
        <v>0.82692307692307698</v>
      </c>
    </row>
    <row r="31" spans="1:11" ht="16.5" customHeight="1" x14ac:dyDescent="0.3">
      <c r="A31" s="76" t="s">
        <v>42</v>
      </c>
      <c r="B31" s="78">
        <v>1568</v>
      </c>
      <c r="C31" s="78">
        <v>-1500</v>
      </c>
      <c r="D31" s="139">
        <v>68</v>
      </c>
      <c r="E31" s="117">
        <v>1.80419209339347E-2</v>
      </c>
      <c r="F31" s="78">
        <v>188.45</v>
      </c>
      <c r="G31" s="138">
        <v>0.8</v>
      </c>
    </row>
    <row r="32" spans="1:11" ht="16.5" customHeight="1" x14ac:dyDescent="0.3">
      <c r="A32" s="80" t="s">
        <v>43</v>
      </c>
      <c r="B32" s="82">
        <v>1782</v>
      </c>
      <c r="C32" s="82">
        <v>-1720</v>
      </c>
      <c r="D32" s="139">
        <v>62</v>
      </c>
      <c r="E32" s="118">
        <v>1.4428671165929699E-2</v>
      </c>
      <c r="F32" s="82">
        <v>214.85</v>
      </c>
      <c r="G32" s="140">
        <v>0.17464788732394401</v>
      </c>
    </row>
    <row r="33" spans="1:11" ht="16.5" customHeight="1" x14ac:dyDescent="0.3">
      <c r="A33" s="76" t="s">
        <v>44</v>
      </c>
      <c r="B33" s="78">
        <v>2055</v>
      </c>
      <c r="C33" s="78">
        <v>-1940</v>
      </c>
      <c r="D33" s="139">
        <v>115</v>
      </c>
      <c r="E33" s="117">
        <v>2.3397761953204501E-2</v>
      </c>
      <c r="F33" s="78">
        <v>245.75</v>
      </c>
      <c r="G33" s="138">
        <v>0.24945770065075901</v>
      </c>
    </row>
    <row r="34" spans="1:11" ht="16.5" customHeight="1" x14ac:dyDescent="0.3">
      <c r="A34" s="80" t="s">
        <v>45</v>
      </c>
      <c r="B34" s="82">
        <v>2317</v>
      </c>
      <c r="C34" s="82">
        <v>-2160</v>
      </c>
      <c r="D34" s="139">
        <v>197</v>
      </c>
      <c r="E34" s="118">
        <v>3.5097096027079999E-2</v>
      </c>
      <c r="F34" s="82">
        <v>280.64999999999998</v>
      </c>
      <c r="G34" s="140">
        <v>0.346830985915493</v>
      </c>
    </row>
    <row r="35" spans="1:11" ht="16.5" customHeight="1" x14ac:dyDescent="0.3">
      <c r="A35" s="76" t="s">
        <v>46</v>
      </c>
      <c r="B35" s="78">
        <v>2566</v>
      </c>
      <c r="C35" s="78">
        <v>-2380</v>
      </c>
      <c r="D35" s="139">
        <v>186</v>
      </c>
      <c r="E35" s="117">
        <v>2.9584857642754901E-2</v>
      </c>
      <c r="F35" s="78">
        <v>314.35000000000002</v>
      </c>
      <c r="G35" s="138">
        <v>0.27192982456140402</v>
      </c>
    </row>
    <row r="36" spans="1:11" ht="16.5" customHeight="1" x14ac:dyDescent="0.3">
      <c r="A36" s="80" t="s">
        <v>47</v>
      </c>
      <c r="B36" s="82">
        <v>2815</v>
      </c>
      <c r="C36" s="82">
        <v>-2600</v>
      </c>
      <c r="D36" s="139">
        <v>215</v>
      </c>
      <c r="E36" s="118">
        <v>3.1087333718912698E-2</v>
      </c>
      <c r="F36" s="82">
        <v>345.8</v>
      </c>
      <c r="G36" s="140">
        <v>0.27634961439588701</v>
      </c>
    </row>
    <row r="38" spans="1:11" ht="18" customHeight="1" x14ac:dyDescent="0.3">
      <c r="A38" s="143" t="s">
        <v>500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</row>
    <row r="39" spans="1:11" ht="19.5" customHeight="1" x14ac:dyDescent="0.3">
      <c r="A39" s="19" t="s">
        <v>479</v>
      </c>
      <c r="B39" s="19" t="s">
        <v>38</v>
      </c>
      <c r="C39" s="19" t="s">
        <v>39</v>
      </c>
      <c r="D39" s="19" t="s">
        <v>40</v>
      </c>
      <c r="E39" s="19" t="s">
        <v>41</v>
      </c>
      <c r="F39" s="20" t="s">
        <v>42</v>
      </c>
      <c r="G39" s="21" t="s">
        <v>43</v>
      </c>
      <c r="H39" s="21" t="s">
        <v>44</v>
      </c>
      <c r="I39" s="21" t="s">
        <v>45</v>
      </c>
      <c r="J39" s="21" t="s">
        <v>46</v>
      </c>
      <c r="K39" s="21" t="s">
        <v>47</v>
      </c>
    </row>
    <row r="40" spans="1:11" ht="16.5" customHeight="1" x14ac:dyDescent="0.3">
      <c r="A40" s="26" t="s">
        <v>501</v>
      </c>
      <c r="B40" s="113">
        <v>-30</v>
      </c>
      <c r="C40" s="113">
        <v>-55</v>
      </c>
      <c r="D40" s="113">
        <v>-68</v>
      </c>
      <c r="E40" s="113">
        <v>-82</v>
      </c>
      <c r="F40" s="113">
        <v>-110</v>
      </c>
      <c r="G40" s="47">
        <v>-120</v>
      </c>
      <c r="H40" s="47">
        <v>-125</v>
      </c>
      <c r="I40" s="47">
        <v>-130</v>
      </c>
      <c r="J40" s="47">
        <v>-140</v>
      </c>
      <c r="K40" s="47">
        <v>-150</v>
      </c>
    </row>
    <row r="41" spans="1:11" ht="16.5" customHeight="1" x14ac:dyDescent="0.3">
      <c r="A41" s="26" t="s">
        <v>502</v>
      </c>
      <c r="B41" s="113">
        <v>450</v>
      </c>
      <c r="C41" s="113">
        <v>280</v>
      </c>
      <c r="D41" s="113">
        <v>180</v>
      </c>
      <c r="E41" s="113">
        <v>120</v>
      </c>
      <c r="F41" s="113">
        <v>80</v>
      </c>
      <c r="G41" s="47">
        <v>40</v>
      </c>
      <c r="H41" s="47">
        <v>30</v>
      </c>
      <c r="I41" s="47">
        <v>20</v>
      </c>
      <c r="J41" s="47">
        <v>10</v>
      </c>
      <c r="K41" s="47">
        <v>0</v>
      </c>
    </row>
    <row r="42" spans="1:11" ht="16.5" customHeight="1" x14ac:dyDescent="0.3">
      <c r="A42" s="26" t="s">
        <v>503</v>
      </c>
      <c r="B42" s="113">
        <v>0</v>
      </c>
      <c r="C42" s="113">
        <v>0</v>
      </c>
      <c r="D42" s="113">
        <v>0</v>
      </c>
      <c r="E42" s="113">
        <v>0</v>
      </c>
      <c r="F42" s="113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</row>
    <row r="43" spans="1:11" ht="16.5" customHeight="1" x14ac:dyDescent="0.3">
      <c r="A43" s="26" t="s">
        <v>504</v>
      </c>
      <c r="B43" s="113">
        <v>0</v>
      </c>
      <c r="C43" s="113">
        <v>0</v>
      </c>
      <c r="D43" s="113">
        <v>0</v>
      </c>
      <c r="E43" s="113">
        <v>0</v>
      </c>
      <c r="F43" s="113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</row>
    <row r="44" spans="1:11" ht="16.5" customHeight="1" x14ac:dyDescent="0.3">
      <c r="A44" s="23" t="s">
        <v>178</v>
      </c>
      <c r="B44" s="25">
        <v>420</v>
      </c>
      <c r="C44" s="25">
        <v>225</v>
      </c>
      <c r="D44" s="25">
        <v>112</v>
      </c>
      <c r="E44" s="25">
        <v>38</v>
      </c>
      <c r="F44" s="25">
        <v>-30</v>
      </c>
      <c r="G44" s="25">
        <v>-80</v>
      </c>
      <c r="H44" s="25">
        <v>-95</v>
      </c>
      <c r="I44" s="25">
        <v>-110</v>
      </c>
      <c r="J44" s="25">
        <v>-130</v>
      </c>
      <c r="K44" s="25">
        <v>-150</v>
      </c>
    </row>
    <row r="45" spans="1:11" ht="16.5" customHeight="1" x14ac:dyDescent="0.3">
      <c r="A45" s="107" t="s">
        <v>505</v>
      </c>
      <c r="B45" s="141">
        <v>30</v>
      </c>
      <c r="C45" s="141">
        <v>85</v>
      </c>
      <c r="D45" s="141">
        <v>153</v>
      </c>
      <c r="E45" s="141">
        <v>235</v>
      </c>
      <c r="F45" s="141">
        <v>345</v>
      </c>
      <c r="G45" s="129">
        <v>465</v>
      </c>
      <c r="H45" s="129">
        <v>590</v>
      </c>
      <c r="I45" s="129">
        <v>720</v>
      </c>
      <c r="J45" s="129">
        <v>860</v>
      </c>
      <c r="K45" s="129">
        <v>1010</v>
      </c>
    </row>
    <row r="46" spans="1:11" ht="16.5" customHeight="1" x14ac:dyDescent="0.3">
      <c r="A46" s="107" t="s">
        <v>506</v>
      </c>
      <c r="B46" s="141">
        <v>450</v>
      </c>
      <c r="C46" s="141">
        <v>730</v>
      </c>
      <c r="D46" s="141">
        <v>910</v>
      </c>
      <c r="E46" s="141">
        <v>1030</v>
      </c>
      <c r="F46" s="141">
        <v>1110</v>
      </c>
      <c r="G46" s="129">
        <v>1150</v>
      </c>
      <c r="H46" s="129">
        <v>1180</v>
      </c>
      <c r="I46" s="129">
        <v>1200</v>
      </c>
      <c r="J46" s="129">
        <v>1210</v>
      </c>
      <c r="K46" s="129">
        <v>1210</v>
      </c>
    </row>
    <row r="48" spans="1:11" ht="18" customHeight="1" x14ac:dyDescent="0.3">
      <c r="A48" s="143" t="s">
        <v>507</v>
      </c>
      <c r="B48" s="143"/>
      <c r="C48" s="143"/>
      <c r="D48" s="143"/>
      <c r="E48" s="143"/>
      <c r="F48" s="143"/>
      <c r="G48" s="143"/>
      <c r="H48" s="143"/>
      <c r="I48" s="143"/>
      <c r="J48" s="143"/>
      <c r="K48" s="143"/>
    </row>
    <row r="49" spans="1:8" ht="21.75" customHeight="1" x14ac:dyDescent="0.3">
      <c r="A49" s="19" t="s">
        <v>435</v>
      </c>
      <c r="B49" s="19" t="s">
        <v>508</v>
      </c>
      <c r="C49" s="19" t="s">
        <v>509</v>
      </c>
      <c r="D49" s="19" t="s">
        <v>510</v>
      </c>
      <c r="E49" s="19" t="s">
        <v>511</v>
      </c>
      <c r="F49" s="19" t="s">
        <v>512</v>
      </c>
      <c r="G49" s="19" t="s">
        <v>513</v>
      </c>
      <c r="H49" s="19" t="s">
        <v>514</v>
      </c>
    </row>
    <row r="50" spans="1:8" ht="16.5" customHeight="1" x14ac:dyDescent="0.3">
      <c r="A50" s="87" t="s">
        <v>38</v>
      </c>
      <c r="B50" s="78">
        <v>250</v>
      </c>
      <c r="C50" s="78">
        <v>547</v>
      </c>
      <c r="D50" s="78">
        <v>-655</v>
      </c>
      <c r="E50" s="78">
        <v>420</v>
      </c>
      <c r="F50" s="78">
        <v>312</v>
      </c>
      <c r="G50" s="78">
        <v>562</v>
      </c>
      <c r="H50" s="78">
        <v>47.5</v>
      </c>
    </row>
    <row r="51" spans="1:8" ht="16.5" customHeight="1" x14ac:dyDescent="0.3">
      <c r="A51" s="87" t="s">
        <v>39</v>
      </c>
      <c r="B51" s="78">
        <v>562</v>
      </c>
      <c r="C51" s="78">
        <v>864</v>
      </c>
      <c r="D51" s="78">
        <v>-870</v>
      </c>
      <c r="E51" s="78">
        <v>225</v>
      </c>
      <c r="F51" s="78">
        <v>219</v>
      </c>
      <c r="G51" s="78">
        <v>781</v>
      </c>
      <c r="H51" s="78">
        <v>91.85</v>
      </c>
    </row>
    <row r="52" spans="1:8" ht="16.5" customHeight="1" x14ac:dyDescent="0.3">
      <c r="A52" s="87" t="s">
        <v>40</v>
      </c>
      <c r="B52" s="78">
        <v>781</v>
      </c>
      <c r="C52" s="78">
        <v>1092</v>
      </c>
      <c r="D52" s="78">
        <v>-1083</v>
      </c>
      <c r="E52" s="78">
        <v>112</v>
      </c>
      <c r="F52" s="78">
        <v>121</v>
      </c>
      <c r="G52" s="78">
        <v>902</v>
      </c>
      <c r="H52" s="78">
        <v>114.3</v>
      </c>
    </row>
    <row r="53" spans="1:8" ht="16.5" customHeight="1" x14ac:dyDescent="0.3">
      <c r="A53" s="87" t="s">
        <v>41</v>
      </c>
      <c r="B53" s="78">
        <v>902</v>
      </c>
      <c r="C53" s="78">
        <v>1323</v>
      </c>
      <c r="D53" s="78">
        <v>-1298</v>
      </c>
      <c r="E53" s="78">
        <v>38</v>
      </c>
      <c r="F53" s="78">
        <v>63</v>
      </c>
      <c r="G53" s="78">
        <v>965</v>
      </c>
      <c r="H53" s="78">
        <v>142.30000000000001</v>
      </c>
    </row>
    <row r="54" spans="1:8" ht="16.5" customHeight="1" x14ac:dyDescent="0.3">
      <c r="A54" s="87" t="s">
        <v>42</v>
      </c>
      <c r="B54" s="78">
        <v>965</v>
      </c>
      <c r="C54" s="78">
        <v>1568</v>
      </c>
      <c r="D54" s="78">
        <v>-1520</v>
      </c>
      <c r="E54" s="78">
        <v>-30</v>
      </c>
      <c r="F54" s="78">
        <v>18</v>
      </c>
      <c r="G54" s="78">
        <v>983</v>
      </c>
      <c r="H54" s="78">
        <v>188.45</v>
      </c>
    </row>
    <row r="55" spans="1:8" ht="16.5" customHeight="1" x14ac:dyDescent="0.3">
      <c r="A55" s="128" t="s">
        <v>43</v>
      </c>
      <c r="B55" s="67">
        <v>983</v>
      </c>
      <c r="C55" s="67">
        <v>1782</v>
      </c>
      <c r="D55" s="67">
        <v>-1744</v>
      </c>
      <c r="E55" s="67">
        <v>-80</v>
      </c>
      <c r="F55" s="67">
        <v>-42</v>
      </c>
      <c r="G55" s="67">
        <v>941</v>
      </c>
      <c r="H55" s="67">
        <v>214.85</v>
      </c>
    </row>
    <row r="56" spans="1:8" ht="16.5" customHeight="1" x14ac:dyDescent="0.3">
      <c r="A56" s="128" t="s">
        <v>44</v>
      </c>
      <c r="B56" s="67">
        <v>941</v>
      </c>
      <c r="C56" s="67">
        <v>2055</v>
      </c>
      <c r="D56" s="67">
        <v>-1966</v>
      </c>
      <c r="E56" s="67">
        <v>-95</v>
      </c>
      <c r="F56" s="67">
        <v>-6</v>
      </c>
      <c r="G56" s="67">
        <v>935</v>
      </c>
      <c r="H56" s="67">
        <v>245.75</v>
      </c>
    </row>
    <row r="57" spans="1:8" ht="16.5" customHeight="1" x14ac:dyDescent="0.3">
      <c r="A57" s="128" t="s">
        <v>45</v>
      </c>
      <c r="B57" s="67">
        <v>935</v>
      </c>
      <c r="C57" s="67">
        <v>2317</v>
      </c>
      <c r="D57" s="67">
        <v>-2188</v>
      </c>
      <c r="E57" s="67">
        <v>-110</v>
      </c>
      <c r="F57" s="67">
        <v>19</v>
      </c>
      <c r="G57" s="67">
        <v>954</v>
      </c>
      <c r="H57" s="67">
        <v>280.64999999999998</v>
      </c>
    </row>
    <row r="58" spans="1:8" ht="16.5" customHeight="1" x14ac:dyDescent="0.3">
      <c r="A58" s="128" t="s">
        <v>46</v>
      </c>
      <c r="B58" s="67">
        <v>954</v>
      </c>
      <c r="C58" s="67">
        <v>2566</v>
      </c>
      <c r="D58" s="67">
        <v>-2410</v>
      </c>
      <c r="E58" s="67">
        <v>-130</v>
      </c>
      <c r="F58" s="67">
        <v>26</v>
      </c>
      <c r="G58" s="67">
        <v>980</v>
      </c>
      <c r="H58" s="67">
        <v>314.35000000000002</v>
      </c>
    </row>
    <row r="59" spans="1:8" ht="16.5" customHeight="1" x14ac:dyDescent="0.3">
      <c r="A59" s="128" t="s">
        <v>47</v>
      </c>
      <c r="B59" s="67">
        <v>980</v>
      </c>
      <c r="C59" s="67">
        <v>2815</v>
      </c>
      <c r="D59" s="67">
        <v>-2632</v>
      </c>
      <c r="E59" s="67">
        <v>-150</v>
      </c>
      <c r="F59" s="67">
        <v>33</v>
      </c>
      <c r="G59" s="67">
        <v>1013</v>
      </c>
      <c r="H59" s="67">
        <v>345.8</v>
      </c>
    </row>
  </sheetData>
  <mergeCells count="6">
    <mergeCell ref="A48:K48"/>
    <mergeCell ref="A1:K1"/>
    <mergeCell ref="A4:K4"/>
    <mergeCell ref="A16:K16"/>
    <mergeCell ref="A25:K25"/>
    <mergeCell ref="A38:K3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 Page</vt:lpstr>
      <vt:lpstr>Assumptions</vt:lpstr>
      <vt:lpstr>Income Statement</vt:lpstr>
      <vt:lpstr>Balance Sheet</vt:lpstr>
      <vt:lpstr>Cash Flow</vt:lpstr>
      <vt:lpstr>DCF &amp; WACC</vt:lpstr>
      <vt:lpstr>Sensitivity Analysis</vt:lpstr>
      <vt:lpstr>Comparable Companies</vt:lpstr>
      <vt:lpstr>Scenario Analysis</vt:lpstr>
      <vt:lpstr>Revenue Schedule</vt:lpstr>
      <vt:lpstr>Expense Schedule</vt:lpstr>
      <vt:lpstr>BS Schedules</vt:lpstr>
      <vt:lpstr>CF 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Akarsh Pandey</cp:lastModifiedBy>
  <cp:revision>0</cp:revision>
  <dcterms:created xsi:type="dcterms:W3CDTF">2026-03-27T01:25:24Z</dcterms:created>
  <dcterms:modified xsi:type="dcterms:W3CDTF">2026-04-09T21:31:11Z</dcterms:modified>
  <dc:language>en-US</dc:language>
</cp:coreProperties>
</file>